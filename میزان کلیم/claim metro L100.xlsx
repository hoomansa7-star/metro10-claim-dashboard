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E28CE33-B13C-4C85-AC43-3775978648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8" r:id="rId1"/>
    <sheet name="TOTAL (3)" sheetId="11" state="hidden" r:id="rId2"/>
    <sheet name="TOTAL (2)" sheetId="10" state="hidden" r:id="rId3"/>
    <sheet name="المپیک" sheetId="9" state="hidden" r:id="rId4"/>
  </sheets>
  <definedNames>
    <definedName name="_xlnm.Print_Area" localSheetId="0">TOTAL!$A$1:$J$96</definedName>
    <definedName name="_xlnm.Print_Area" localSheetId="2">'TOTAL (2)'!$A$1:$F$113</definedName>
    <definedName name="_xlnm.Print_Area" localSheetId="1">'TOTAL (3)'!$A$1:$I$30</definedName>
    <definedName name="_xlnm.Print_Titles" localSheetId="1">'TOTAL (3)'!$1:$2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1" i="8" l="1"/>
  <c r="I80" i="8"/>
  <c r="J76" i="8"/>
  <c r="I76" i="8" s="1"/>
  <c r="J77" i="8"/>
  <c r="I77" i="8" s="1"/>
  <c r="J78" i="8"/>
  <c r="I78" i="8" s="1"/>
  <c r="J79" i="8"/>
  <c r="I79" i="8" s="1"/>
  <c r="J80" i="8"/>
  <c r="J81" i="8"/>
  <c r="J75" i="8"/>
  <c r="I75" i="8" s="1"/>
  <c r="H42" i="8" l="1"/>
  <c r="I42" i="8" s="1"/>
  <c r="I12" i="8"/>
  <c r="H17" i="8"/>
  <c r="I17" i="8" s="1"/>
  <c r="J42" i="8" l="1"/>
  <c r="J30" i="8"/>
  <c r="J18" i="8"/>
  <c r="J17" i="8"/>
  <c r="J12" i="8"/>
  <c r="J4" i="8"/>
  <c r="H6" i="11"/>
  <c r="H4" i="8"/>
  <c r="H2" i="8" s="1"/>
  <c r="I2" i="8"/>
  <c r="I2" i="11"/>
  <c r="G2" i="11"/>
  <c r="I21" i="11"/>
  <c r="J2" i="8" l="1"/>
  <c r="G21" i="11"/>
  <c r="I27" i="11" l="1"/>
  <c r="I16" i="11"/>
  <c r="I15" i="11"/>
  <c r="I14" i="11"/>
  <c r="I13" i="11"/>
  <c r="I12" i="11"/>
  <c r="I11" i="11"/>
  <c r="I9" i="11"/>
  <c r="I8" i="11"/>
  <c r="I4" i="11"/>
  <c r="G8" i="11" l="1"/>
  <c r="G18" i="11"/>
  <c r="H18" i="11" s="1"/>
  <c r="I18" i="11" s="1"/>
  <c r="G20" i="11"/>
  <c r="F106" i="10" l="1"/>
  <c r="G106" i="10" s="1"/>
  <c r="G105" i="10"/>
  <c r="G103" i="10"/>
  <c r="G102" i="10"/>
  <c r="G53" i="10"/>
  <c r="F42" i="10"/>
  <c r="G42" i="10" s="1"/>
  <c r="G2" i="10" s="1"/>
  <c r="F16" i="10"/>
  <c r="F3" i="10"/>
  <c r="F2" i="10"/>
  <c r="H2" i="11" l="1"/>
</calcChain>
</file>

<file path=xl/sharedStrings.xml><?xml version="1.0" encoding="utf-8"?>
<sst xmlns="http://schemas.openxmlformats.org/spreadsheetml/2006/main" count="699" uniqueCount="337">
  <si>
    <t>خواب دستگاه TBM در گود آیرانا</t>
  </si>
  <si>
    <t>عدم تخصیص برق به کارگاه توسط کارفرما</t>
  </si>
  <si>
    <t>دریافت هزینه های حصار کشی مجدد</t>
  </si>
  <si>
    <t>اضافه حجم بتن شمع ها</t>
  </si>
  <si>
    <t>تاخیر در ابلاغ نقشه های اولیه و تغییر نقشه ها</t>
  </si>
  <si>
    <t>جمع آوری مستندات و مستند سازی صعوبت کار و هزینه های اضافه بابت محدود بودن فضای کار</t>
  </si>
  <si>
    <t>جابجایی مجدد کانکس</t>
  </si>
  <si>
    <t>پر کردن 14 شمع بعت برخورد با معارض</t>
  </si>
  <si>
    <t>مستند سازی جابجایی چاله گل</t>
  </si>
  <si>
    <t xml:space="preserve">دریافت کلیه هزینه های احداث 32 شمع بدون دستورکار </t>
  </si>
  <si>
    <t xml:space="preserve">تهیه دستورالعمل تهیه لایحه تاخیرات </t>
  </si>
  <si>
    <t>بررسی نهایی لایحه تاخیرات شرکت سیف بنا و پیمانکاری گلزار</t>
  </si>
  <si>
    <t>بررسی برنامه زمان بندی پیمانکاران و رفع معارض کلیمی و کنترل و اصلاح CPM</t>
  </si>
  <si>
    <t>بالانس مصالح</t>
  </si>
  <si>
    <t>بررسی فرمت قرارداد پیمانکاران جزء جهت شناسایی موارد ایجاد کلیم برای این پیمانکاران</t>
  </si>
  <si>
    <t>در دست اقدام</t>
  </si>
  <si>
    <t>انجام گردید.</t>
  </si>
  <si>
    <t>شناسایی کلیم</t>
  </si>
  <si>
    <t>صورتجلسه و صورت وضعیت مربوطه جهت بررسی میبایست تحویل این واحد گردد</t>
  </si>
  <si>
    <t>به دستگاه نظارت طی نامه شماره ........مورخ....... ارسال شد.</t>
  </si>
  <si>
    <t>در دست اقدام-بررسی قرارداد</t>
  </si>
  <si>
    <t>ارسال نامه تهیه لایحه تاخیرات ایستگاه دهکده المپیک به کنترل پروژه</t>
  </si>
  <si>
    <t>تهیه گزارشات حفاری TBM (گانت چارت تاخیرات)</t>
  </si>
  <si>
    <t>تاخیر در اجرای شمعهای ضلع جنوبی بعلت برخورد به معارض برق</t>
  </si>
  <si>
    <t>احداث سازه نگهبان جهت جلوگیری از برخورد ماشین آلات به کابل برق معارض</t>
  </si>
  <si>
    <t>عدم تخصیص برق به تجهیز چاله گل</t>
  </si>
  <si>
    <t>به منظور ابلاغ به کلیه کارگاه ها نامه جهت ارسال به واحد کنترل پروژه تهیه گردیده لیکن بعلت آماده نبودن اتوماسیون اداری ارسال نگردیده است</t>
  </si>
  <si>
    <t>جهت دریافت مستندات نامه شماره10012مورخ1404/01/25به کارگاه ارسال گردید.</t>
  </si>
  <si>
    <t>جهت میلگرد برای ایستگاه پژوهش انجام گردید و در کارتابل فنی موجود میباشد.</t>
  </si>
  <si>
    <t>دریاچه</t>
  </si>
  <si>
    <t>پژوهش</t>
  </si>
  <si>
    <t>اتریش</t>
  </si>
  <si>
    <t>المپیک</t>
  </si>
  <si>
    <t>جنت آباد</t>
  </si>
  <si>
    <t>ایرانشهر</t>
  </si>
  <si>
    <t>سایر اقدامات واحد کلیم</t>
  </si>
  <si>
    <t>کلیم های پروژه های خط</t>
  </si>
  <si>
    <t>لایحه تهیه شد-ارسال به مشاور طی 2 مرحله-مشاور در نهایت اعلام کرد لایحه مذکور در قالب لایحه تاخیرات توجیح دارد-با مدیر طرح در خصوص تعیین تکلیف نحوه پرداخت لایحه فوق کسب تکلیف و در خواست جلسه شد در تاریخ 1403/12/15</t>
  </si>
  <si>
    <t>خدمات مشاوره ای به واحد کنترل پروژه و مشارکت در تهیه برنامه تفصیلی پیمان</t>
  </si>
  <si>
    <t>معارض برق</t>
  </si>
  <si>
    <t>خط 10</t>
  </si>
  <si>
    <t>دریافت هزینه های طراحی و خدمات مهندسی</t>
  </si>
  <si>
    <t>هزینه های جمع کردن حصار دوربرگردان غربی</t>
  </si>
  <si>
    <t>هزینه گازوئیل</t>
  </si>
  <si>
    <t>هزینه های تحمیلی در زمان قطعی برق سراسری</t>
  </si>
  <si>
    <t>کارگاه پایانه(وردآورد)</t>
  </si>
  <si>
    <t>شناسایی کلیم شد-مستندات جمع آوری گردید-دستورکار توسط مهندسی به مشاور ارسال شد-</t>
  </si>
  <si>
    <t>بررسی شود تمامی مکاتبات ارسال و دریافت نقشه های تمامی ایستگاهها</t>
  </si>
  <si>
    <t>ارسال نامه و مستند سازی در این خصوص به مشاورین طرح-جلسه با واحد مهندسی و استخراج اطلاعات اولیه</t>
  </si>
  <si>
    <t>تغییرات و دوباره کاریهای نقشه برداری در تمامی ایستگاهها</t>
  </si>
  <si>
    <t>جلسه با واحد نقشه برداری و استخراج اطلاعات اولیه</t>
  </si>
  <si>
    <t>صورتجلسه توسط رهاب به مشاور ارسال شد و در دست بررسی می باشد</t>
  </si>
  <si>
    <t>اضافه حفاری شمع ها و ایستگاه پژوهش</t>
  </si>
  <si>
    <t xml:space="preserve">اضافه حفاری شمع ها </t>
  </si>
  <si>
    <t>آیتم 40216(اضافه بها صعوب حفاری شمع ها) جهت کلیه شمع پروژه</t>
  </si>
  <si>
    <t>مستندسازی با مشاور شامل مکاتبات یا جلسات هماهنگی صورت پذیرد.</t>
  </si>
  <si>
    <t>دریافت هزینه سونداژ شناسایی تاسیسات زیزمینی</t>
  </si>
  <si>
    <t>بررسی شود از واحد صورت وضعیت که آیا هزینه های این فعالیت گرفته شده یا خیر و سپس کسب تکلیف شود.(کلیه ایستگاهها چک شود)</t>
  </si>
  <si>
    <t>تغییر شرایط قرادادی از روباز به زیر زمینی</t>
  </si>
  <si>
    <t>شناسایی کلیم -تغییر مقادیر ایستگاه بررسی شود-سود و زیان حالتها با هم مقایسه شود-تاخیرات مجاز درخواست شود</t>
  </si>
  <si>
    <t>مستندات نامه نگاری با مشاور-گزارش روزانه ها و هزینه های اضافی ماشین آلات و نیرو انسانی لیست شود</t>
  </si>
  <si>
    <t>تامین دلیل ساختمانهای موجود در مسیر حفاری</t>
  </si>
  <si>
    <t>بررسی شود مراجع قراردادی و بخشنامه ای و حقوقی را در این خصوص - در کار گروه کلیم پیشنهادات داده شود</t>
  </si>
  <si>
    <t>سگمنت</t>
  </si>
  <si>
    <t>تغییر طرح اخطلاط اجرایی نسبت به طرح ابلاغی سگمنت-استفاده از میکروسیلیس</t>
  </si>
  <si>
    <t>بررسی شود آیا پول میکروسیلیس اخذ شده است یا خیر - سایر تغییرات اخطلاط بررسی شود</t>
  </si>
  <si>
    <t>فعالیت های متوقف شده و هزینه های مرتبط با آن - توقف TBM-مستند سازی در قالب مکاتبات و گزارشات روزانه</t>
  </si>
  <si>
    <t>استعلام از واحد پشتیبانی و بررسی قصور مشاور و کارفرما در اخذ مجوز و هزینه تحمیل شده مازاد</t>
  </si>
  <si>
    <t>هزینه های جنگ تحمیلی 12 روزه</t>
  </si>
  <si>
    <t>مستند سازی در قالب مکاتبات و گزارشات بررسی شود - توقفات کاری در زمان جنگ لیست شود - هزینه های مستمر کارگاه بررسی شود-لایحه ضرر و زیان درخواست شود</t>
  </si>
  <si>
    <t>تهیه و تنظیم لایحه تاخیرات جهت کلیه ایستگاها</t>
  </si>
  <si>
    <t>پس از ابلاغ زمانبندی تیم تاخیرات می بایست اقدام به شروع نوشتن لایحه تاخیرات شوند-پیمانکاران بک تو بک مستقل انجام دهند طبق فرمت کارگاه(فقط تاخیرات فنی اخذ شود)</t>
  </si>
  <si>
    <t>قیمت جدید ورق pvc جهت عایق کف شفت و دیواره ها</t>
  </si>
  <si>
    <t>حفاری تونلی شفت</t>
  </si>
  <si>
    <t>در مورد روش پرداخت بحث شود-پی کنی یا تونلی یا قیمت جدید زیر تراز استرات-روش اجرا استانداراد و تعاریف شفت بررسی شود</t>
  </si>
  <si>
    <t>بررسی شود کلیم های مرتبط از جمله هزینه های تامین برق تا محل تجهیز - استفاده از ماده 28 و خسارتهای مرتبط-توقف عملیات اجرایی برنامه زمانبندی محل های تحویل نشده</t>
  </si>
  <si>
    <t>هزینه های تحمیلی و قراردادی عدم تامین بموقع و کامل زمین تجهیز کارگاه</t>
  </si>
  <si>
    <t>هزینه افزودنی بتن</t>
  </si>
  <si>
    <t>برررسی شود به چه روشی هزینه ریافت می گردد</t>
  </si>
  <si>
    <t>طبقه بندی خاک/جنس زمین/سنگ</t>
  </si>
  <si>
    <t>صورتجلسات کمیسون سنگ و خاک و جنس زمین بررسی شود ضمن اینکه با ژئوتکنیک برآورد اولیه مقایسه گردد</t>
  </si>
  <si>
    <t>هزینه های مازاد تجهیزکارگاه</t>
  </si>
  <si>
    <t>هزینه ردیف های تجهیز کارگاه بررسی شود</t>
  </si>
  <si>
    <t>هزینه های رفع معارض ساخت سازه نگهبان</t>
  </si>
  <si>
    <t>رفع معارضی هچون داربست بندی برای کابل برق در المپیک و اتریش</t>
  </si>
  <si>
    <t>تزریف فوم حفاری</t>
  </si>
  <si>
    <t>استخراج نرم استاندارد تزریق - دریافت کل فوم تزریقی تاکنون - مقایسته نرم و واقعیت - محل دریافت هزینه تزریق فوم حفاری - عارضه یابی در جهت کاهش هزینه</t>
  </si>
  <si>
    <t>بررسی شود مستندات:حمل سگمنت-نتایج آزمایشات بتن سگمنت - نصب سگمنت - کنترل کیفیت سگمنت - محل دریافت هزینه های ساخت و نصب سگمنت</t>
  </si>
  <si>
    <t>تاخیرات دستگاه</t>
  </si>
  <si>
    <t>دریافت تاخیرات حفاری 24 ساعته و مدیریت کردن آنها</t>
  </si>
  <si>
    <t>شرح اقدامات</t>
  </si>
  <si>
    <r>
      <rPr>
        <sz val="14"/>
        <color theme="1"/>
        <rFont val="B Titr"/>
        <charset val="178"/>
      </rPr>
      <t xml:space="preserve">دریافت هزینه های حصار کشی مجدد </t>
    </r>
    <r>
      <rPr>
        <sz val="12"/>
        <color theme="1"/>
        <rFont val="B Titr"/>
        <charset val="178"/>
      </rPr>
      <t xml:space="preserve">                                             </t>
    </r>
    <r>
      <rPr>
        <sz val="14"/>
        <color theme="1"/>
        <rFont val="B Titr"/>
        <charset val="178"/>
      </rPr>
      <t>اقدامات</t>
    </r>
  </si>
  <si>
    <t>مسئول انجام</t>
  </si>
  <si>
    <t>تاریخ انجام</t>
  </si>
  <si>
    <t>تکمیل فرم فاز 1</t>
  </si>
  <si>
    <t>مهندس قادری</t>
  </si>
  <si>
    <t>فواصل حمل - در خواست حمل مازاد بر 15 کیلومتر</t>
  </si>
  <si>
    <t>نامه نگاری با مشاور انجام شد</t>
  </si>
  <si>
    <t>دریافت هزینه اضافه مصرف سیمان در سگمنت</t>
  </si>
  <si>
    <t>طبق بررسی ها اختلاط سگمنت c40  میباشد ولی در واقعیت ما c50 مصرف میکنیم</t>
  </si>
  <si>
    <t>شناسایی کلیم شده - مستندات جمع آوری و برآورد هزینه شود-لازمه این کلیه داشتن تاخیرات مجاز می باشد</t>
  </si>
  <si>
    <t>هزینه فوق بصورت نامه درخواست شده - در قرارداد گفته شده اینچنین هزینه ها می بایست پرداخت شوند</t>
  </si>
  <si>
    <t>تبدیل آیتم پی کنی زیر استرات ها به حفاری تونلی</t>
  </si>
  <si>
    <t>لایحه توجیهی هزینه های اجرایی خاکبرداری زیر استرات به مشاور ارسال شد و درخواست پرداخت به روش آیتم جدید گردید</t>
  </si>
  <si>
    <t>هزینه های تشریفات و پذیراییدریافت هزینه ساخت و نصب آلیماک(بالابر نفر بر)</t>
  </si>
  <si>
    <t>شناسایی کلیم -بررسی اسناد قرارداد اصلی و بخشنامه ها در خصوص تخصیص برق به کارگاه توسط کارفرما</t>
  </si>
  <si>
    <t>بررسی شود تخریب و اصلاح مجدد فعالیت فوق در صورت وضعیت دریافت شده  یا خیر.</t>
  </si>
  <si>
    <t>شناسایی کلیم توسط مهندس فرزانه - مذاکره جهت دریافت مستندات</t>
  </si>
  <si>
    <t>صورتجلسه توسط رهاب به مشاور ارسال شد و در دست بررسی می باشد - قادری</t>
  </si>
  <si>
    <t>تغییر شرایط قرادادی از روباز به زیر زمینی - روباز</t>
  </si>
  <si>
    <t>شناسایی کلیم - بررسی بخشنامه ها در خصوص تغییر مشخصات قراردادی و نقشه ای</t>
  </si>
  <si>
    <t>001.Z10-7 1</t>
  </si>
  <si>
    <t>Z10-5</t>
  </si>
  <si>
    <t>Z10-7 1</t>
  </si>
  <si>
    <t>001.Z10-2</t>
  </si>
  <si>
    <t>002.Z10-2</t>
  </si>
  <si>
    <t>Z10-2</t>
  </si>
  <si>
    <t>Z10</t>
  </si>
  <si>
    <t>X10</t>
  </si>
  <si>
    <t>W10</t>
  </si>
  <si>
    <t>002.Z10-7 1</t>
  </si>
  <si>
    <t>Z10-9</t>
  </si>
  <si>
    <t>SA</t>
  </si>
  <si>
    <t>TURL10</t>
  </si>
  <si>
    <t>سگمنت علی آباد</t>
  </si>
  <si>
    <t>TBM1</t>
  </si>
  <si>
    <t>OTHERS</t>
  </si>
  <si>
    <t>شناسایی کلیم-باتوجه به مقایسه درآمد و هزینه و سود 30 درصدی در اجرای گالری در نظر گرفته شد که در مواجه با ایجاد گالری ها دو دید گاه مطرح و در نظر گرفته می شود:
1. انجام اجرای عملیات و اخذ سود دهی
2. برآورد هزینه انجام کار برای کارفرما (درآمد رهاب) و پیشنهاد انجام کار کم هزینه تر و دریافت سود 25-40 درصدی در قالب مهندسی ارزش (290)</t>
  </si>
  <si>
    <t>جرائم بیمه دیرکرد در پرداخت حق بیمه کارکنان</t>
  </si>
  <si>
    <t>مقایسه درآمد اجرای گالری و اجرای تسمه نوار نقاله به روش معمول</t>
  </si>
  <si>
    <t>اصلاح فرم خدمات ارائه شده به پیمانکاران</t>
  </si>
  <si>
    <t>تهیه فرمت و نامه به کنترل پروژه ( 6832218 ) جهت ایجاد کد فرم و نامه به موسسه ( 6832395 ) جهت جاری سازی</t>
  </si>
  <si>
    <t>برنامه کاری کنترل پروژه</t>
  </si>
  <si>
    <t>تهیه نامه با شناسه ( 6784339 ) و صدور آن</t>
  </si>
  <si>
    <t>کد</t>
  </si>
  <si>
    <t>جوزانی شرقی</t>
  </si>
  <si>
    <t>حمل گل حاصل از حفاری</t>
  </si>
  <si>
    <t>V10</t>
  </si>
  <si>
    <t>سردار جنگل</t>
  </si>
  <si>
    <t>جابجایی لوله آب - شرکت نهال سبزینه</t>
  </si>
  <si>
    <t>هزینه های لجستیک اورهال دستگاه حفار مکانیزه دوم</t>
  </si>
  <si>
    <t>هزینه های لجستیک نصب استرات ایستگاه جنت آباد</t>
  </si>
  <si>
    <t>هزینه های طراحی</t>
  </si>
  <si>
    <t>خسارت عدم رفع معارض ورد آورد</t>
  </si>
  <si>
    <t>001.TBM1</t>
  </si>
  <si>
    <t>002.TBM1</t>
  </si>
  <si>
    <t>001.X10</t>
  </si>
  <si>
    <t>002.X10</t>
  </si>
  <si>
    <t>003.X10</t>
  </si>
  <si>
    <t>001.Z10</t>
  </si>
  <si>
    <t>002.Z10</t>
  </si>
  <si>
    <t>003.Z10</t>
  </si>
  <si>
    <t>004.Z10</t>
  </si>
  <si>
    <t>005.Z10</t>
  </si>
  <si>
    <t>006.Z10</t>
  </si>
  <si>
    <t>007.Z10</t>
  </si>
  <si>
    <t>001.V10</t>
  </si>
  <si>
    <t>001.Z10-9</t>
  </si>
  <si>
    <t>001.TURL10</t>
  </si>
  <si>
    <t>002.TURL10</t>
  </si>
  <si>
    <t>003.TURL10</t>
  </si>
  <si>
    <t>004.TURL10</t>
  </si>
  <si>
    <t>003.TBM1</t>
  </si>
  <si>
    <t>001.OTHERS</t>
  </si>
  <si>
    <t>002.OTHERS</t>
  </si>
  <si>
    <t>003.OTHERS</t>
  </si>
  <si>
    <t>نرم تزریق-صورتجلسات تزریق-دستورکار تزریق - محل دریافت هزینه تزریق بررسی شود - نامه با شناسه 6520210 جهت تعیین محل پرداخت زده شد</t>
  </si>
  <si>
    <t>مصرف مازاد گروت پشت سگمنت تونل</t>
  </si>
  <si>
    <t>عملیات خاکی ایستگاه های روباز (حفاری-پی کنی)</t>
  </si>
  <si>
    <t>005.TURL10</t>
  </si>
  <si>
    <t>عملیات خاکی ایستگاه های روباز (خاکبرداری-پی کنی)</t>
  </si>
  <si>
    <t>کلیم شناسایی شد - واحد صورت وضعیت در صورتجلسات تایید آیتم پی کنی را به جای خاکبرداری اخذ کرد</t>
  </si>
  <si>
    <t>006.TURL10</t>
  </si>
  <si>
    <t>ساخت، نصب استرات</t>
  </si>
  <si>
    <t>کلیم شناسایی شد - جدول  هزینه و در آمد انجام شد - با ضرر حدود 400 میلیاردی مواجه ایم - در انتظار تصمیم مدیران بالادستی</t>
  </si>
  <si>
    <r>
      <t xml:space="preserve">تهیه فرمت و </t>
    </r>
    <r>
      <rPr>
        <u/>
        <sz val="14"/>
        <color theme="1"/>
        <rFont val="B Nazanin"/>
        <charset val="178"/>
      </rPr>
      <t>نامه به موسسه ( 6808220 )</t>
    </r>
    <r>
      <rPr>
        <sz val="14"/>
        <color theme="1"/>
        <rFont val="B Nazanin"/>
        <charset val="178"/>
      </rPr>
      <t xml:space="preserve"> و نامه از طریق کنترل پروژه به پیمانکاران بک تو بک</t>
    </r>
  </si>
  <si>
    <t>a</t>
  </si>
  <si>
    <t>004.OTHERS</t>
  </si>
  <si>
    <t>نامه فرمت خدمات به مسئول امور قراردادها</t>
  </si>
  <si>
    <t>برق دستگاه حفار مکانیزه دوم</t>
  </si>
  <si>
    <t>آلیماک ایستگاه جنت آباد</t>
  </si>
  <si>
    <t>در حال جمع آوری نامه های مربوط به برق جنت آباد</t>
  </si>
  <si>
    <t>در حال تهیه پیش نویس نامه به مشاور</t>
  </si>
  <si>
    <t>004.X10</t>
  </si>
  <si>
    <t>005.X10</t>
  </si>
  <si>
    <t>006.X10</t>
  </si>
  <si>
    <t>فعالیت ایستگاه جنت آباد بعد از اجرای شفت</t>
  </si>
  <si>
    <t>مقایسه هزینه درآمد حفاری</t>
  </si>
  <si>
    <t>004.TBM1</t>
  </si>
  <si>
    <t>درحال دریافت هزینه ها از مالی</t>
  </si>
  <si>
    <t>تهیه نامه در انتظار امضا م فکوری</t>
  </si>
  <si>
    <t>نقشه برداری</t>
  </si>
  <si>
    <t>رفع معارض برق</t>
  </si>
  <si>
    <t>دهکده المپیک</t>
  </si>
  <si>
    <t>زیباسازی دوره ای</t>
  </si>
  <si>
    <t>007.TURL10</t>
  </si>
  <si>
    <t>008.TURL10</t>
  </si>
  <si>
    <t>009.TURL10</t>
  </si>
  <si>
    <t>تغییر مشخصات قراردادی و محدوده تحویل زمین</t>
  </si>
  <si>
    <t>بررسی قرارداد، بخشنامه ها و سایر موارد انجام گردد</t>
  </si>
  <si>
    <t>005.OTHERS</t>
  </si>
  <si>
    <t>بررسی روزهای قطعی برق و تعطیلی آلودگی هوا</t>
  </si>
  <si>
    <t>تاخیر در تحویل گرفتن کارگاه و نقشه ها و درخواست تعلیق</t>
  </si>
  <si>
    <t>005.TBM1</t>
  </si>
  <si>
    <t>بدست آوردن حجم دقیق حفاری باتوجه به تزریق اضافه فوم و ...</t>
  </si>
  <si>
    <t>بررسی شود</t>
  </si>
  <si>
    <t>006.OTHERS</t>
  </si>
  <si>
    <t>بررسی ادعاهای عالی فلز</t>
  </si>
  <si>
    <t xml:space="preserve">  </t>
  </si>
  <si>
    <t>بررسی ادعاهای شرکت بلند پایه سازان رابین</t>
  </si>
  <si>
    <t>007.OTHERS</t>
  </si>
  <si>
    <t>تجهیز کارگاه مازاد بر تجهیز ابلاغی</t>
  </si>
  <si>
    <t>مستندات اولیه و ایده اولیه توسط پیمان رضایی کشف و انجام گردیده است
در حال تکمیل مستندات جهت انجام دریافت مازاد باتوجه به بند 2-5 کلیات شرایط خصوصی</t>
  </si>
  <si>
    <t>001.Z10-5</t>
  </si>
  <si>
    <r>
      <t xml:space="preserve">بار مالی اولیه(ریال)
</t>
    </r>
    <r>
      <rPr>
        <b/>
        <sz val="10"/>
        <color theme="1"/>
        <rFont val="B Titr"/>
        <charset val="178"/>
      </rPr>
      <t>(میزان ادعای پیمانکار)</t>
    </r>
  </si>
  <si>
    <r>
      <t xml:space="preserve">اخذ شده(ریال)
</t>
    </r>
    <r>
      <rPr>
        <b/>
        <sz val="10"/>
        <color theme="1"/>
        <rFont val="B Titr"/>
        <charset val="178"/>
      </rPr>
      <t>(میزان سود حاصل از بررسی ادعا)</t>
    </r>
  </si>
  <si>
    <t>008.OTHERS</t>
  </si>
  <si>
    <t>بیمه تمام خاطر سال 1405</t>
  </si>
  <si>
    <t>در دست اقدام - فایل ها بصورت کامل پر شد و در اختیار مسئول مالی پروژه قرار گرفت</t>
  </si>
  <si>
    <t>010.TURL11</t>
  </si>
  <si>
    <t>شرایط فورس ماژور</t>
  </si>
  <si>
    <t>009.OTHERS</t>
  </si>
  <si>
    <t>بررسی ادعاهای مشارکت ابتکار نیرو انرژی و آدرین تجهیزات پارس سازه</t>
  </si>
  <si>
    <t>ادعاهای پیمانکار بررسی شده و مبلغ مورد تایید به مدیریت فنی و مهندسی موسسه ارسال شد</t>
  </si>
  <si>
    <t>در دست اقدام - ادعاهای پیمانکار بررسی شده و بررسی ادعاها با شناسه نامه 7063736 به مدیریت فنی و مهندسی موسسه ارسال شد.</t>
  </si>
  <si>
    <t>در دست اقدام - ادعاهای پیمانکار بررسی شده و بررسی ادعاها با شناسه نامه 7105894 به مدیریت فنی و مهندسی موسسه در حال ارسال می باشد.</t>
  </si>
  <si>
    <t>کلیم شناسایی شد 
- پس از بررسی بار مالی اولیه و به علت عدم وجود دفترچه محاسبات، در طراحی های مورد نظر، اقدام در این خصوص مختومه گردید.
- از این به بعد برای عملیات های بعدی و طراحی های بعدی، در قالب مهندسی ارزش اقدام شود.</t>
  </si>
  <si>
    <t>003.Z10-2</t>
  </si>
  <si>
    <t>نامه با شماره 6892002 برای مشاور جهت جبران هزینه ساخت آلیماک تولید و ارسال گردیده است در انتظار نظر مشاور در خصوص نحوه پرداخت
نامه پیگیری با شماره 7156341 مورخ 1405/03/03 صادر شد</t>
  </si>
  <si>
    <t>کلیم شناسایی شد - مستندات جرائم 4 ماه به همراه بخشنامه با شناسه نامه 6786734 مورخ 1404/10/07 به ره پویان ارسال شد - در انتظار تایید مدیر طرح جهت پرداخت جرائم- ارسال نامه پیگیری با شناسه 6922407 مورخ 1404/11/18
- شامل طرح های عمرانی می شود اما با عنایت به عدم علم کارفرما در این خصوص نامه پیگیری زده شود
- نامه پیگیری دوم با شماره 7156398 مورخ 1405/03/03 صادر شد.</t>
  </si>
  <si>
    <t>کلیم شناسایی شد 
- برآورد اولیه انجام گردید و گزارش برآوردی با مقایسه در آمد و هزینه حاصل از تفاوت در نظر گرفتن آیتم های پی کنی و حفاری ( از100- میلیارد ریال به 400+ میلیارد ریال می رسد) آماده گردید - در انتظار تصمیم مدیران بالادستی- تهیه نامه برای سه ایستگاه اتریش(6891833)، جنت آباد(6891883)، پژوهش(6891938) به مشاوران با موضوع عملیات خاکی
-گزارش حفاری اتریش برای تبدیل خاک زیر استرات یا زیر رمپ از پی کنی به حفاری به پیمان رضایی جهت بررسی ارسال شد.</t>
  </si>
  <si>
    <t>010.OTHERS</t>
  </si>
  <si>
    <t>بررسی ادعاهای مشارکت فرخی و عونی قرارداد 269</t>
  </si>
  <si>
    <t>شناسایی کلیم - مدارک مثبته با توجه به ماده 28 قرارداد اصلی به طور کامل برای واحد صورت وضعیت ارسال شد</t>
  </si>
  <si>
    <t>شناسایی کلیم - مدارک مثبته اولیه با توجه به ماده 28 قرارداد اصلی برای واحد صورت وضعیت ارسال شد</t>
  </si>
  <si>
    <t>کلیم شناسایی شد - جدول  هزینه ها در حال انجام و بایگانی است و مکاتبات اولیه (6468666) با بهرو (14290) صورت گرفته و بهرو در انتظار لیست هزینه هاست - کمال زارع قرار است ارسال نماید.                                        - ارسال نامه درخواست (7120672) به مدیریت پشتیبانی جهت ارسال مستندات تا پایان 1405/02/30
- علیرغم پیگیری های پیاپی پشتیبانی همکاری نکرد، لیست ها با کمک حاج سلیمانی تکمیل گردید</t>
  </si>
  <si>
    <t>007.X10</t>
  </si>
  <si>
    <t>آیتم های مربوط به اجرای پد بتنی</t>
  </si>
  <si>
    <t>کلیم شناسایی شد - در صورت وضعیت اخذ شد.</t>
  </si>
  <si>
    <t>اضافه حفاری شمع ها و اضافه بتن</t>
  </si>
  <si>
    <t>شناسایی کلیم - در صورت وضعیت اخذ شد.</t>
  </si>
  <si>
    <t>کلیم شناسایی شد
-برآورد اولیه انجام گردید و گزارش برآوردی با مقایسه در آمد و هزینه ( با ضرر حدود 23- هزار میلیارد ریال مواجه ایم) آماده گردید
- ارسال نامه به مدیر طرح با شماره 46384 در خصوص نحوه جبران ضرر حاصله در تاریخ 1404/11/08 و عودت نامه  توسط مدیر طرح با شماره 11769 در تاریخ 1404/11/19
- ارسال نامه با شناسه 695489 به بهرو در تاریخ 1404/11/27و جوابیه نامه با شماره 49161 در تاریخ 1405/02/14 ارسال شد و در حال تهیه جوابیه می باشیم.
- ارسال نامه با شماره 7156442 به بهرو جهت رد ادعای آن ها به علت غیر طبیعی بودن تورم خاک و دارا بودن مواد شیمیایی و فوم و همچنین مشکلات زیست محیطی ( مورخ 1405/03/04 )</t>
  </si>
  <si>
    <t>در دست اقدام - نامه با شماره 2149 در خصوص افزایش قیمت از پیمانکار ارسال گردیده - ارسال پاسخ 7191965 تاریخ 1405/03/16</t>
  </si>
  <si>
    <t>بخشنامه ها و ماده 28 و ماده تعلیق بررسی شده و درخواست تعلیق شود
- نامه اولیه توسط م هوشمند تولید شده (7119407 در تاریخ 04 خرداد 1405) و (7139517 در تاریخ 04 خرداد 1405) و در انتظار تایید و امضا هستیم</t>
  </si>
  <si>
    <t>نامه اولیه تهیه شده، در انتظار تایید م فکوری
نامه با شماره 7156519 مورخ 1405/03/11 ارسال به ره پویان شد</t>
  </si>
  <si>
    <t>شناسایی کلیم 
-نامه درخواست لیست ماشین آلات به پشتیبانی ( شناسه 6786574 - مورخ 1404/10/09)
-نامه پیگیری لیست ماشین آلات به پشتیبانی ( شناسه 6891196 - مورخ 1404/11/07)
-نامه به مشاور جهت تعیین نحوه پرداخت (شناسه 6912003 - مورخ .../.../...)* دو بار نامه تولید شده است هنوز امضا نشده است
-هومن در حال استخراج هزینه ها می باشد.
- نامه برای مشخص شدن نحوه هزینه با شناسه 6912003 در تاریخ 1405/03/11 ارسال شد</t>
  </si>
  <si>
    <t>بررسی ادعاهای مجتبی گلزار قرارداد 239</t>
  </si>
  <si>
    <t>010.TURL10</t>
  </si>
  <si>
    <t>تغییر محدویت فواصل حمل</t>
  </si>
  <si>
    <t>Contract 2nd</t>
  </si>
  <si>
    <t>001.Contract 2nd</t>
  </si>
  <si>
    <t>بررسی ادعاهای مشارکت ابتکار نیرو انرژی و آدرین تجهیزات پارس سازه 222</t>
  </si>
  <si>
    <t>بررسی ادعاهای شرکت بلند پایه سازان رابین 197</t>
  </si>
  <si>
    <t>002.Contract 2nd</t>
  </si>
  <si>
    <t>بررسی ادعاهای مشارکت فرخی و عونی قرارداد 169</t>
  </si>
  <si>
    <t>003.Contract 2nd</t>
  </si>
  <si>
    <t>004.Contract 2nd</t>
  </si>
  <si>
    <t>005.Contract 2nd</t>
  </si>
  <si>
    <t>006.Contract 2nd</t>
  </si>
  <si>
    <t>امورقراردادهای پیمانکاران دست دوم</t>
  </si>
  <si>
    <t>پس از بررسی ادعاهای پیمانکار، مبلغ مورد تایید بعد از تصویب مدیریت فنی و مهندسی لحاظ گردید.</t>
  </si>
  <si>
    <t>پس از بررسی ادعاهای پیمانکار، آخرین پاسخ نامه با شماره شناسه 7265826 مورخ 1405/04/09 به پیمانکار ارسال گردید.</t>
  </si>
  <si>
    <t>بررسی ادعاهای حبیب نورپرست قرارداد 211</t>
  </si>
  <si>
    <t>007.Contract 2nd</t>
  </si>
  <si>
    <t>پس از بررسی ادعاهای پیمانکار، ادعاهای بررسی شده به همراه صورتجلسه تایید ادعا با شناسه 7111541 مورخ 1405/04/21 به مدیریت فنی و مهندسی موسسه برسد.</t>
  </si>
  <si>
    <t>بررسی ادعاهای اصغر ناجی قرارداد 252</t>
  </si>
  <si>
    <t>پس از بررسی ادعاهای پیمانکار، آخرین پاسخ نامه با شماره شناسه 7235055 مورخ 1405/03/30 به پیمانکار ارسال گردید.</t>
  </si>
  <si>
    <t>کلیم شناسایی شد 
- مستندات جرائم 4 ماه (اردیبهشت 1403 - تیر 1403- مهر 1403 - مرداد 1404) ارسال گردید
- نامه پیگیری دوم با شماره 7156398 مورخ 1405/03/08 صادر شد و در انتظار تایید مدیر پروژه است.</t>
  </si>
  <si>
    <t>کلیم شناسایی شد
-برآورد اولیه انجام گردید و گزارش برآوردی با مقایسه در آمد و هزینه ( با ضرر حدود 23- هزار میلیارد ریال مواجه ایم) آماده گردید
- ارسال نامه به مدیر طرح با شماره 46384 در خصوص نحوه جبران ضرر حاصله در تاریخ 1404/11/08 و عودت نامه  توسط مدیر طرح با شماره 11769 در تاریخ 1404/11/19
- ارسال نامه با شناسه 695489 به بهرو در تاریخ 1404/11/27و جوابیه نامه با شماره 49161 در تاریخ 1405/02/14 ارسال شد.
- ارسال نامه با شماره 7156442 به بهرو جهت رد ادعای آن ها به علت غیر طبیعی بودن تورم خاک و دارا بودن مواد شیمیایی و فوم و همچنین مشکلات زیست محیطی ( مورخ 1405/03/04 )
- تهیه گزارش اولیه در خصوص زیان مالی وارده بر پیمانکار برای جبران زیان توسط م قادری تهیه شده (اصلاحات انجام گردید(در انتظار تکمیل آنالیز توسط م فکوری)</t>
  </si>
  <si>
    <t>عملیات خاکی (تبدیل پی کنی به حفاری) ایستگاه های روباز</t>
  </si>
  <si>
    <t>عملیات خاکی (تبدیل خاکبرداری به پی کنی) ایستگاه های روباز</t>
  </si>
  <si>
    <t>کلیم شناسایی شد - جدول  هزینه و در آمد انجام شد - با ضرر حدود 120 میلیارد تومانی مواجه ایم - در انتظار تصمیم مدیران بالادستی</t>
  </si>
  <si>
    <t>کلیم شناسایی شد 
- جدول  هزینه ها در حال انجام و بایگانی است و مکاتبات اولیه (6468666) با بهرو (14290) صورت گرفته است
-ارسال نامه درخواست (7120672) به مدیریت پشتیبانی جهت ارسال مستندات تا پایان 1405/02/30
- علیرغم پیگیری های پیاپی پشتیبانی همکاری نکرد، لیست ها با کمک حاج سلیمانی تکمیل گردید
-در انتظار تکمیل مستندات لیست از واحد مالی</t>
  </si>
  <si>
    <t>کلیم شناسایی شد
-مقایسه درآمد و هزینه از طریق فهارس بهای راه و باند و ابنیه (حمل حفاری در راه وباند و حمل خاک ابنیه) انجام گردید.
- نامه با شناسه 7265744 مورخ 1404/09/04 به مدیر طرح ارسال شد.</t>
  </si>
  <si>
    <t>شناسایی کلیم 
- مدارک مثبته اولیه با توجه به ماده 28 قرارداد اصلی برای واحد صورت وضعیت ارسال شد
- درصورت ارسال مدارک پرداخت به پیمانکار، کارفرما به صورت کامل پرداخت خواهد کرد.</t>
  </si>
  <si>
    <t>نامه با شماره 6892002 برای مشاور جهت جبران هزینه ساخت آلیماک تولید و ارسال گردیده است در انتظار نظر مشاور در خصوص نحوه پرداخت
نامه پیگیری با شماره 7156341 مورخ 1405/03/03 صادر شد در انتظار تایید مدیر پروژه</t>
  </si>
  <si>
    <t>پس از تایید تاخیرات مجاز پیمانکار، با شماره 168 مورخ 1405/04/31 در حال بررسی ضرر و زیان پیمانکار هستیم</t>
  </si>
  <si>
    <t>حفر چاه عمیق (آب)</t>
  </si>
  <si>
    <t>کلیم شناسایی شد 
- نامه با شناسه 7347178 تولید شده و در انتظار مدیر پروژه.</t>
  </si>
  <si>
    <t>لایحه تهیه شد-ارسال به مشاور طی 2 مرحله-مشاور در نهایت اعلام کرد لایحه مذکور در قالب لایحه تاخیرات توجیح دارد-با مدیر طرح در خصوص تعیین تکلیف نحوه پرداخت لایحه فوق کسب تکلیف و در خواست جلسه شد در تاریخ 1403/12/15
-دستور کار جدید مطابق ماده 49 عمل شود</t>
  </si>
  <si>
    <t>بار مالی اولیه(ریال)
(میزان ادعای پیمانکار)</t>
  </si>
  <si>
    <t>اخذ شده(ریال)
(میزان سود حاصل از بررسی ادعا)</t>
  </si>
  <si>
    <t xml:space="preserve">صورتجلسه توسط رهاب به مشاور ارسال شد و در دست بررسی می باشد </t>
  </si>
  <si>
    <t>کلیم شناسایی شد 
- واحد صورت وضعیت در صورتجلسات تایید آیتم پی کنی را به جای خاکبرداری اخذ کرد (بصورت مستمر در حال اخذ می باشد)</t>
  </si>
  <si>
    <t>بخشنامه، ضوابط و بندهای قراردادی</t>
  </si>
  <si>
    <t>بند 12-12 کلیات ضمیمه شرایط خصوصی قرارداد</t>
  </si>
  <si>
    <t>ماده 28  - الف شرایط خصوصی قرارداد اصلی</t>
  </si>
  <si>
    <t>برگه مالی مربوط به حفاری</t>
  </si>
  <si>
    <t>1- بخشنامه شماره 94/174733 مورخ 1394/07/22 در خصوص پرداخت حق بیمه کارکنان پیمانکار .
2- مکاتبه مدیر نظام فنی و اجرای استان آذربایجان شرقی به شماره 2133 مورخ 07 فرودین ماه 1398 .
3- پرسش و پاسخ نظام فنی و اجرایی به کد 1-566539030522 .</t>
  </si>
  <si>
    <t>1- بند 47-1) کلیات شرایط خصوصی
2-  مقایسه حجم خاک در برآورد اولیه ایستگاه های ترانشه باز (عمده حجم عملیات خاکی در فصل چهارم فهرست بها در نظر گرفته شده است)
3-مقدمه فصل چهارم فهرست راه و باند
4-آنالیز هزینه اجرای واقعی کار</t>
  </si>
  <si>
    <t xml:space="preserve">مطابق برگه مالی برآورد اولیه حفاری مکانیزه منضم به پیمان در فصل بیستم  فهرست راه و باند، حمل خاک در نظر گرفته شده است </t>
  </si>
  <si>
    <t>بند 12-11 کلیات ضمیمه شرایط خصوصی قرارداد اصلی</t>
  </si>
  <si>
    <t>تاخیر در تحویل گرفتن کارگاه</t>
  </si>
  <si>
    <t>ماده 28  - ج شرایط عمومی پیمان، نشریه 4311</t>
  </si>
  <si>
    <t xml:space="preserve">1- ابلاغیه تحلیلی شماره 67776/1405/ص مورخ ۱6/۰2/۱۴۰۵ سندیکای شرکت‌های ساختمانی ایران
2-ماده ۴۳ شرایط عمومی پیمان (نشریه ۴۳۱۱) </t>
  </si>
  <si>
    <t>ماده 49 شرایط عمومی پیمان (نشریه ۴۳۱۱)  - تعلیق</t>
  </si>
  <si>
    <t>قرارداد پیمانکار دست دوم - 239</t>
  </si>
  <si>
    <t xml:space="preserve">1-ماده 28  - ج شرایط عمومی پیمان، نشریه 4311
2-قرارداد پیمانکار دست دوم - 211 </t>
  </si>
  <si>
    <t xml:space="preserve">1-نامه با شماره 54/6022 مورخ 1377/11/07 .
2-دستورالعمل تجدید نظر در نرخ پیمان (تبصره 80)
3-قرارداد پیمانکار دست دوم - 252 </t>
  </si>
  <si>
    <t xml:space="preserve">1-دستورالعمل تجدید نظر در نرخ پیمان (تبصره 80)
2-قرارداد پیمانکار دست دوم - 197 </t>
  </si>
  <si>
    <t xml:space="preserve">1-دستورالعمل تجدید نظر در نرخ پیمان (تبصره 80)
2-قرارداد پیمانکار دست دوم - 222 </t>
  </si>
  <si>
    <t xml:space="preserve">1-دستورالعمل تجدید نظر در نرخ پیمان (تبصره 80)
2-قرارداد های پیمانکار دست دوم </t>
  </si>
  <si>
    <t>بار مالی نهایی(ریال)
(درصورت اخذ)</t>
  </si>
  <si>
    <r>
      <t xml:space="preserve">تهیه فرمت و </t>
    </r>
    <r>
      <rPr>
        <b/>
        <u/>
        <sz val="12"/>
        <color theme="1"/>
        <rFont val="B Nazanin"/>
        <charset val="178"/>
      </rPr>
      <t>نامه به موسسه ( 6808220 )</t>
    </r>
    <r>
      <rPr>
        <b/>
        <sz val="12"/>
        <color theme="1"/>
        <rFont val="B Nazanin"/>
        <charset val="178"/>
      </rPr>
      <t xml:space="preserve"> و نامه از طریق کنترل پروژه به پیمانکاران بک تو بک</t>
    </r>
  </si>
  <si>
    <t>بند 9-1 شرایط خصوصی پیمان</t>
  </si>
  <si>
    <t>بند 9-1 کلیات شرایط خصوصی</t>
  </si>
  <si>
    <t>011.TURL11</t>
  </si>
  <si>
    <t>پاسخگو نبودن تعدیل</t>
  </si>
  <si>
    <t>1-نامه با شماره 54/6022 مورخ 1377/11/07 .
2-دستورالعمل تجدید نظر در نرخ پیمان (تبصره 80)</t>
  </si>
  <si>
    <t>کلیم شناسایی شد
-در حال مقایسه تعدیل با نرخ تاخیر و تادیه (بانک مرکزی) و تعدیل قراردادی</t>
  </si>
  <si>
    <t>کلیم شناسایی شد 
-بخشنامه ها و ماده 28 و ماده تعلیق بررسی شده و درخواست تعلیق شود.
- درخواست تحویل کارگاه به تاریخ 1405/03/04 به شناسه نامه 7119407 به مهندسین مشاور بهرو و شناسه نامه  7353242  مورخ 1405/05/10 به رهساز طرح ارسال شده است.
-درحال تکمیل موارد</t>
  </si>
  <si>
    <t>کلیم شناسایی شد
-نامه با شماره 7156519 مورخ 1405/03/11 ارسال به ره پویان شد.
-تهیه نامه پیگیری با شناسه 7350420  مورخ 1405/05/07 به رهساز طرح ارسال شده است.</t>
  </si>
  <si>
    <t>بررسی نهایی (پس از بررسی های اولیه و رد درخواست پیمانکار) با شناسه نامه 7365360 تولید شده و در انتظار تایید مدیر پروژه است.</t>
  </si>
  <si>
    <t>طرح استقبال از ماه مهر</t>
  </si>
  <si>
    <t>درست کردن چک لیست برای واحد مهندسی</t>
  </si>
  <si>
    <t>گزارش نوشته شد و در فرمت مصوب قرار گرفت و تحویل م.فرزانه داده شد.</t>
  </si>
  <si>
    <t>فایل اکسل تهیه شد و در فرمت مصوب قرار گرفت و تحویل م.فرزانه داده شد.</t>
  </si>
  <si>
    <t>کلیم شناسایی شد 
- برآورد اولیه انجام گردید و گزارش برآوردی با مقایسه در آمد و هزینه حاصل از تفاوت در نظر گرفتن آیتم های پی کنی و حفاری ( از حدود 90- میلیارد ریال به 500+ میلیارد ریال می رسد) آماده گردید (در انتظار تصمیم مدیران بالادستی)
- تهیه نامه برای سه ایستگاه اتریش(6891833)، جنت آباد(6891883)، پژوهش(6891938) به مشاوران با موضوع عملیات خاکی در 1404/11/08 صادر شد.
- گزارش حفاری اتریش با نامه با شماره 7328390 مورخ 1404/05/03 به بهرو ارسال شد.
- گزارش حفاری جنت آباد با نامه با شماره 7344521 مورخ 1404/05/05 به هگزا ارسال شد.
گزارش حفاری دریاچه با نامه با شماره 7398470 مورخ 1404/05/27 به بهرو ارسال شد.</t>
  </si>
  <si>
    <t>011.OTHERS</t>
  </si>
  <si>
    <t>جدول روکش مالی و برآورد هزینه اجرایی اتریش</t>
  </si>
  <si>
    <t>به درخواست مهندس فرزانه ،جدول روکش مالی و برآورد هزینه اجرایی ایستگاه اتریش تهیه شد و تحویل ایشان گردید.</t>
  </si>
  <si>
    <t xml:space="preserve"> به درخواست مهندس فرزانه ، گزارش توجیهی و دفاعیه پرداخت عملیات خاکی زیر تراز استرات برای ایستگاه های اتریش و جنت آباد و دریاچه تهیه شد و تحویل ایشان گردید</t>
  </si>
  <si>
    <t>موارد اختلافی صورت وضعیت</t>
  </si>
  <si>
    <t xml:space="preserve"> به درخواست مهندس رضایی ، موارد اختلافی صورت وضعیت در قالب پاورپوینت و html تهیه شد و تحویل ایشان گردید. </t>
  </si>
  <si>
    <t>پاورپوینت گزارش توجیهی و دفاعیه پرداخت عملیات خاکی زیر تراز استرات</t>
  </si>
  <si>
    <t>کلیم شناسایی شد 
- برآورد اولیه انجام گردید و گزارش برآوردی با مقایسه در آمد و هزینه حاصل از تفاوت در نظر گرفتن آیتم های پی کنی و حفاری ( از حدود 90- میلیارد ریال به 500+ میلیارد ریال می رسد) آماده گردید (در انتظار تصمیم مدیران بالادستی)
- تهیه نامه برای سه ایستگاه اتریش(6891833)، جنت آباد(6891883)، پژوهش(6891938) به مشاوران با موضوع عملیات خاکی در 1404/11/08 صادر شد.
- گزارش حفاری اتریش با نامه با شماره 7328390 مورخ 1404/05/03 به بهرو ارسال شد.
- گزارش حفاری جنت آباد با نامه با شماره 7344521 مورخ 1404/05/05 به هگزا ارسال شد.
-گزارش حفاری دریاچه با نامه با شماره 7398470 مورخ 1405/05/27 به بهرو ارسال شد.
- نامه پیگیری گزاش های حفاری کنت آباد و المپیک با نامه با شماره 7401042 مورخ 1405/05/27 به هگزا ارسال شد.</t>
  </si>
  <si>
    <t>پس از بررسی اولیه ادعاهای و لایحه تاخیرات پیمانکار، بررسی لایحه تاخیرات با نامه با شناسه 7483971 مورخ 1405/06/00 به پیمانکار ارسال گردید.</t>
  </si>
  <si>
    <t>کلیم شناسایی شد
-برآورد اولیه انجام گردید و گزارش برآوردی با مقایسه در آمد و هزینه ( با ضرر حدود 23- هزار میلیارد ریال مواجه ایم) آماده گردید
- ارسال نامه به مدیر طرح با شماره 46384 در خصوص نحوه جبران ضرر حاصله در تاریخ 1404/11/08 و عودت نامه  توسط مدیر طرح با شماره 11769 در تاریخ 1404/11/19
- ارسال نامه با شناسه 6954891 به بهرو در تاریخ 1404/11/27و جوابیه نامه با شماره 1814 در تاریخ 1405/02/14 ارسال شد.
- ارسال نامه با شماره 7156442 به بهرو جهت رد ادعای آن ها به علت غیر طبیعی بودن تورم خاک و دارا بودن مواد شیمیایی و فوم و همچنین مشکلات زیست محیطی ( مورخ 1405/03/04 )
- تهیه گزارش اولیه در خصوص زیان مالی وارده بر پیمانکار برای جبران زیان توسط م قادری تهیه شده (اصلاحات انجام گردید(در انتظار تکمیل آنالیز توسط م فکوری)</t>
  </si>
  <si>
    <t>کلیم شناسایی شد 
- جدول  هزینه ها در حال انجام و بایگانی است و مکاتبات اولیه (6468666) با بهرو (14390) صورت گرفته است
-ارسال نامه درخواست (7120672) به مدیریت پشتیبانی جهت ارسال مستندات تا پایان 1405/02/30
- علیرغم پیگیری های پیاپی پشتیبانی همکاری نکرد، لیست ها با کمک حاج سلیمانی تکمیل گردید
-در انتظار تکمیل مستندات لیست از واحد مالی</t>
  </si>
  <si>
    <t>کلیم شناسایی شد
-نامه با شماره 7156519 مورخ 1405/03/11 ارسال به ره پویان شد.
-تهیه نامه پیگیری با شناسه 7350420  مورخ 1405/05/07 به ررهپویان ارسال شده است
تهیه نامه پیگیریدوم  با شناسه 7472246 مورخ 1405/06/17 به رهپویان ارسال شده است.</t>
  </si>
  <si>
    <t>تایید شده</t>
  </si>
  <si>
    <t>روش اخذ</t>
  </si>
  <si>
    <t>صورت وضعیت</t>
  </si>
  <si>
    <t>فرمت قیمت جدید - صورت وضعیت</t>
  </si>
  <si>
    <t>صورت حساب</t>
  </si>
  <si>
    <t>کلیم شناسایی شد 
- مستندات جرائم 4 ماه (اردیبهشت 1403 - تیر 1403- مهر 1403 - مرداد 1404) ارسال گردید
- نامه پیگیری دوم با شماره 7156398 مورخ 1405/03/08 صادر شد و در انتظار تایید مدیر پروژه است.
(مریوط به طرح های عمرانی است)</t>
  </si>
  <si>
    <t>قیمت جدید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</si>
</sst>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  <font>
      <b/>
      <sz val="14"/>
      <color theme="1"/>
      <name val="B Titr"/>
      <charset val="178"/>
    </font>
    <font>
      <b/>
      <sz val="14"/>
      <color rgb="FFFF0000"/>
      <name val="B Titr"/>
      <charset val="178"/>
    </font>
    <font>
      <sz val="12"/>
      <color theme="1"/>
      <name val="B Nazanin"/>
      <charset val="178"/>
    </font>
    <font>
      <sz val="14"/>
      <name val="B Nazanin"/>
      <charset val="178"/>
    </font>
    <font>
      <sz val="14"/>
      <color theme="1"/>
      <name val="B Titr"/>
      <charset val="178"/>
    </font>
    <font>
      <sz val="12"/>
      <color theme="1"/>
      <name val="B Titr"/>
      <charset val="178"/>
    </font>
    <font>
      <b/>
      <sz val="16"/>
      <color theme="1"/>
      <name val="B Titr"/>
      <charset val="178"/>
    </font>
    <font>
      <u/>
      <sz val="11"/>
      <color theme="10"/>
      <name val="Calibri"/>
      <family val="2"/>
      <scheme val="minor"/>
    </font>
    <font>
      <b/>
      <sz val="14"/>
      <name val="B Titr"/>
      <charset val="178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u/>
      <sz val="14"/>
      <color theme="1"/>
      <name val="B Nazanin"/>
      <charset val="178"/>
    </font>
    <font>
      <b/>
      <sz val="24"/>
      <color theme="1"/>
      <name val="Webdings"/>
      <family val="1"/>
      <charset val="2"/>
    </font>
    <font>
      <b/>
      <sz val="13"/>
      <color theme="1"/>
      <name val="B Titr"/>
      <charset val="178"/>
    </font>
    <font>
      <sz val="10"/>
      <color theme="1"/>
      <name val="B Nazanin"/>
      <charset val="178"/>
    </font>
    <font>
      <b/>
      <sz val="10"/>
      <color theme="1"/>
      <name val="B Titr"/>
      <charset val="178"/>
    </font>
    <font>
      <sz val="14"/>
      <color theme="7" tint="0.39997558519241921"/>
      <name val="B Nazanin"/>
      <charset val="178"/>
    </font>
    <font>
      <sz val="11"/>
      <color theme="1"/>
      <name val="Calibri"/>
      <family val="2"/>
      <charset val="178"/>
      <scheme val="minor"/>
    </font>
    <font>
      <b/>
      <sz val="28"/>
      <color theme="7" tint="0.39997558519241921"/>
      <name val="B Nazanin"/>
      <charset val="178"/>
    </font>
    <font>
      <b/>
      <sz val="28"/>
      <color theme="1"/>
      <name val="B Titr"/>
      <charset val="178"/>
    </font>
    <font>
      <b/>
      <sz val="28"/>
      <color theme="1"/>
      <name val="B Nazanin"/>
      <charset val="178"/>
    </font>
    <font>
      <b/>
      <sz val="28"/>
      <color theme="1"/>
      <name val="Webdings"/>
      <family val="1"/>
      <charset val="2"/>
    </font>
    <font>
      <b/>
      <sz val="28"/>
      <name val="B Nazanin"/>
      <charset val="178"/>
    </font>
    <font>
      <b/>
      <sz val="28"/>
      <color theme="1"/>
      <name val="Calibri"/>
      <family val="2"/>
      <scheme val="minor"/>
    </font>
    <font>
      <b/>
      <sz val="12"/>
      <color theme="1"/>
      <name val="B Titr"/>
      <charset val="178"/>
    </font>
    <font>
      <b/>
      <sz val="12"/>
      <color theme="1"/>
      <name val="B Nazanin"/>
      <charset val="178"/>
    </font>
    <font>
      <b/>
      <sz val="12"/>
      <color theme="1"/>
      <name val="Webdings"/>
      <family val="1"/>
      <charset val="2"/>
    </font>
    <font>
      <b/>
      <u/>
      <sz val="12"/>
      <color theme="1"/>
      <name val="B Nazanin"/>
      <charset val="178"/>
    </font>
    <font>
      <b/>
      <sz val="28"/>
      <color theme="8"/>
      <name val="B Titr"/>
      <charset val="178"/>
    </font>
    <font>
      <b/>
      <sz val="28"/>
      <color theme="8"/>
      <name val="B Nazanin"/>
      <charset val="178"/>
    </font>
    <font>
      <b/>
      <u/>
      <sz val="28"/>
      <color theme="8"/>
      <name val="B Nazanin"/>
      <charset val="178"/>
    </font>
    <font>
      <b/>
      <sz val="28"/>
      <color theme="8"/>
      <name val="Calibri"/>
      <family val="2"/>
      <scheme val="minor"/>
    </font>
    <font>
      <b/>
      <u/>
      <sz val="28"/>
      <color theme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22" fillId="0" borderId="0"/>
  </cellStyleXfs>
  <cellXfs count="2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2" borderId="0" xfId="0" applyFont="1" applyFill="1" applyBorder="1"/>
    <xf numFmtId="3" fontId="1" fillId="0" borderId="14" xfId="0" applyNumberFormat="1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3" fontId="1" fillId="2" borderId="13" xfId="0" applyNumberFormat="1" applyFont="1" applyFill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3" fontId="1" fillId="0" borderId="17" xfId="0" applyNumberFormat="1" applyFont="1" applyBorder="1" applyAlignment="1">
      <alignment horizontal="center" vertical="center"/>
    </xf>
    <xf numFmtId="3" fontId="1" fillId="0" borderId="22" xfId="0" applyNumberFormat="1" applyFont="1" applyBorder="1" applyAlignment="1">
      <alignment horizontal="center" vertical="center"/>
    </xf>
    <xf numFmtId="3" fontId="1" fillId="0" borderId="24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3" fontId="1" fillId="0" borderId="2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23" xfId="0" applyFont="1" applyBorder="1" applyAlignment="1">
      <alignment horizontal="right" vertical="center"/>
    </xf>
    <xf numFmtId="0" fontId="5" fillId="0" borderId="28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23" xfId="0" applyFont="1" applyBorder="1" applyAlignment="1">
      <alignment horizontal="right" vertical="center"/>
    </xf>
    <xf numFmtId="0" fontId="1" fillId="5" borderId="0" xfId="0" applyFont="1" applyFill="1" applyBorder="1"/>
    <xf numFmtId="0" fontId="1" fillId="5" borderId="30" xfId="0" applyFont="1" applyFill="1" applyBorder="1"/>
    <xf numFmtId="3" fontId="7" fillId="5" borderId="17" xfId="0" applyNumberFormat="1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right" vertical="center"/>
    </xf>
    <xf numFmtId="0" fontId="7" fillId="5" borderId="8" xfId="0" applyFont="1" applyFill="1" applyBorder="1" applyAlignment="1">
      <alignment horizontal="center" vertical="center"/>
    </xf>
    <xf numFmtId="0" fontId="6" fillId="0" borderId="23" xfId="1" applyFont="1" applyBorder="1" applyAlignment="1">
      <alignment horizontal="right" vertical="center"/>
    </xf>
    <xf numFmtId="0" fontId="5" fillId="0" borderId="28" xfId="0" applyFont="1" applyBorder="1" applyAlignment="1">
      <alignment horizontal="center" vertical="center"/>
    </xf>
    <xf numFmtId="3" fontId="1" fillId="0" borderId="34" xfId="0" applyNumberFormat="1" applyFont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right" vertical="center"/>
    </xf>
    <xf numFmtId="49" fontId="13" fillId="2" borderId="0" xfId="0" applyNumberFormat="1" applyFont="1" applyFill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49" fontId="13" fillId="2" borderId="29" xfId="0" applyNumberFormat="1" applyFont="1" applyFill="1" applyBorder="1" applyAlignment="1">
      <alignment horizontal="center" vertical="center"/>
    </xf>
    <xf numFmtId="49" fontId="13" fillId="2" borderId="19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right" vertical="center" wrapText="1"/>
    </xf>
    <xf numFmtId="3" fontId="1" fillId="0" borderId="40" xfId="0" applyNumberFormat="1" applyFont="1" applyBorder="1" applyAlignment="1">
      <alignment horizontal="center" vertical="center"/>
    </xf>
    <xf numFmtId="3" fontId="1" fillId="0" borderId="42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right" vertical="center" wrapText="1"/>
    </xf>
    <xf numFmtId="49" fontId="15" fillId="2" borderId="0" xfId="1" applyNumberFormat="1" applyFont="1" applyFill="1" applyBorder="1" applyAlignment="1">
      <alignment horizontal="center" vertical="center"/>
    </xf>
    <xf numFmtId="49" fontId="10" fillId="6" borderId="0" xfId="1" applyNumberForma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9" xfId="0" applyFont="1" applyBorder="1" applyAlignment="1">
      <alignment horizontal="right" vertical="center" wrapText="1"/>
    </xf>
    <xf numFmtId="0" fontId="1" fillId="4" borderId="4" xfId="0" applyFont="1" applyFill="1" applyBorder="1" applyAlignment="1">
      <alignment horizontal="right" vertical="center" wrapText="1"/>
    </xf>
    <xf numFmtId="0" fontId="1" fillId="0" borderId="26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41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2" fontId="1" fillId="0" borderId="28" xfId="0" applyNumberFormat="1" applyFont="1" applyBorder="1" applyAlignment="1">
      <alignment horizontal="right" vertical="center" wrapText="1"/>
    </xf>
    <xf numFmtId="0" fontId="1" fillId="0" borderId="33" xfId="0" applyFont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7" fillId="0" borderId="48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4" borderId="47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2" fontId="17" fillId="0" borderId="50" xfId="0" applyNumberFormat="1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6" borderId="48" xfId="0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4" borderId="48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right" vertical="center" wrapText="1"/>
    </xf>
    <xf numFmtId="0" fontId="1" fillId="6" borderId="1" xfId="0" applyFont="1" applyFill="1" applyBorder="1" applyAlignment="1">
      <alignment horizontal="right" vertical="center" wrapText="1"/>
    </xf>
    <xf numFmtId="0" fontId="1" fillId="6" borderId="38" xfId="0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right" vertical="center" wrapText="1"/>
    </xf>
    <xf numFmtId="0" fontId="1" fillId="6" borderId="5" xfId="0" applyFont="1" applyFill="1" applyBorder="1" applyAlignment="1">
      <alignment horizontal="right" vertical="center" wrapText="1"/>
    </xf>
    <xf numFmtId="0" fontId="6" fillId="6" borderId="5" xfId="0" applyFont="1" applyFill="1" applyBorder="1" applyAlignment="1">
      <alignment horizontal="right" vertical="center" wrapText="1"/>
    </xf>
    <xf numFmtId="0" fontId="1" fillId="6" borderId="25" xfId="0" applyFont="1" applyFill="1" applyBorder="1" applyAlignment="1">
      <alignment horizontal="right" vertical="center" wrapText="1"/>
    </xf>
    <xf numFmtId="0" fontId="6" fillId="6" borderId="23" xfId="0" applyFont="1" applyFill="1" applyBorder="1" applyAlignment="1">
      <alignment horizontal="right" vertical="center" wrapText="1"/>
    </xf>
    <xf numFmtId="0" fontId="1" fillId="6" borderId="35" xfId="0" applyFont="1" applyFill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25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43" xfId="0" applyFont="1" applyBorder="1" applyAlignment="1">
      <alignment horizontal="right" vertical="center" wrapText="1"/>
    </xf>
    <xf numFmtId="0" fontId="6" fillId="6" borderId="7" xfId="0" applyFont="1" applyFill="1" applyBorder="1" applyAlignment="1">
      <alignment horizontal="right" vertical="center" wrapText="1"/>
    </xf>
    <xf numFmtId="2" fontId="6" fillId="0" borderId="23" xfId="0" applyNumberFormat="1" applyFont="1" applyBorder="1" applyAlignment="1">
      <alignment horizontal="right" vertical="center" wrapText="1"/>
    </xf>
    <xf numFmtId="0" fontId="6" fillId="0" borderId="32" xfId="0" applyFont="1" applyBorder="1" applyAlignment="1">
      <alignment horizontal="right" vertical="center" wrapText="1"/>
    </xf>
    <xf numFmtId="0" fontId="1" fillId="0" borderId="23" xfId="0" applyFont="1" applyBorder="1" applyAlignment="1">
      <alignment horizontal="right" vertical="center" wrapText="1"/>
    </xf>
    <xf numFmtId="0" fontId="1" fillId="4" borderId="25" xfId="0" applyFont="1" applyFill="1" applyBorder="1" applyAlignment="1">
      <alignment horizontal="right" vertical="center" wrapText="1"/>
    </xf>
    <xf numFmtId="0" fontId="1" fillId="6" borderId="23" xfId="0" applyFont="1" applyFill="1" applyBorder="1" applyAlignment="1">
      <alignment horizontal="right" vertical="center" wrapText="1"/>
    </xf>
    <xf numFmtId="0" fontId="1" fillId="6" borderId="8" xfId="0" applyFont="1" applyFill="1" applyBorder="1" applyAlignment="1">
      <alignment horizontal="right" vertical="center" wrapText="1"/>
    </xf>
    <xf numFmtId="0" fontId="17" fillId="6" borderId="51" xfId="0" applyFont="1" applyFill="1" applyBorder="1" applyAlignment="1">
      <alignment horizontal="center" vertical="center" wrapText="1"/>
    </xf>
    <xf numFmtId="3" fontId="1" fillId="6" borderId="17" xfId="0" applyNumberFormat="1" applyFont="1" applyFill="1" applyBorder="1" applyAlignment="1">
      <alignment horizontal="center" vertical="center"/>
    </xf>
    <xf numFmtId="3" fontId="1" fillId="6" borderId="16" xfId="0" applyNumberFormat="1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right" vertical="center" wrapText="1"/>
    </xf>
    <xf numFmtId="0" fontId="17" fillId="0" borderId="48" xfId="0" applyFont="1" applyFill="1" applyBorder="1" applyAlignment="1">
      <alignment horizontal="center" vertical="center" wrapText="1"/>
    </xf>
    <xf numFmtId="3" fontId="1" fillId="0" borderId="16" xfId="0" applyNumberFormat="1" applyFont="1" applyFill="1" applyBorder="1" applyAlignment="1">
      <alignment horizontal="center" vertical="center"/>
    </xf>
    <xf numFmtId="49" fontId="10" fillId="2" borderId="0" xfId="1" applyNumberFormat="1" applyFill="1" applyBorder="1" applyAlignment="1">
      <alignment horizontal="center" vertical="center"/>
    </xf>
    <xf numFmtId="3" fontId="1" fillId="4" borderId="16" xfId="0" applyNumberFormat="1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 wrapText="1"/>
    </xf>
    <xf numFmtId="3" fontId="19" fillId="0" borderId="0" xfId="0" applyNumberFormat="1" applyFont="1" applyAlignment="1">
      <alignment horizontal="center" vertical="center"/>
    </xf>
    <xf numFmtId="0" fontId="18" fillId="3" borderId="10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center" vertical="center" wrapText="1"/>
    </xf>
    <xf numFmtId="3" fontId="1" fillId="6" borderId="24" xfId="0" applyNumberFormat="1" applyFont="1" applyFill="1" applyBorder="1" applyAlignment="1">
      <alignment horizontal="center" vertical="center"/>
    </xf>
    <xf numFmtId="49" fontId="15" fillId="2" borderId="19" xfId="1" applyNumberFormat="1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 wrapText="1"/>
    </xf>
    <xf numFmtId="3" fontId="1" fillId="2" borderId="54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3" fillId="2" borderId="0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right" vertical="center" wrapText="1" readingOrder="1"/>
    </xf>
    <xf numFmtId="0" fontId="1" fillId="3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horizontal="right" vertical="center" wrapText="1"/>
    </xf>
    <xf numFmtId="0" fontId="1" fillId="6" borderId="28" xfId="0" applyFont="1" applyFill="1" applyBorder="1" applyAlignment="1">
      <alignment horizontal="right" vertical="center" wrapText="1"/>
    </xf>
    <xf numFmtId="0" fontId="1" fillId="4" borderId="6" xfId="0" applyFont="1" applyFill="1" applyBorder="1" applyAlignment="1">
      <alignment horizontal="right" vertical="center" wrapText="1"/>
    </xf>
    <xf numFmtId="0" fontId="1" fillId="0" borderId="20" xfId="0" applyFont="1" applyBorder="1" applyAlignment="1">
      <alignment horizontal="right" vertical="center" wrapText="1"/>
    </xf>
    <xf numFmtId="0" fontId="1" fillId="0" borderId="21" xfId="0" applyFont="1" applyBorder="1" applyAlignment="1">
      <alignment horizontal="right" vertical="center" wrapText="1"/>
    </xf>
    <xf numFmtId="0" fontId="1" fillId="0" borderId="36" xfId="0" applyFont="1" applyFill="1" applyBorder="1" applyAlignment="1">
      <alignment horizontal="right" vertical="center" wrapText="1"/>
    </xf>
    <xf numFmtId="0" fontId="1" fillId="6" borderId="2" xfId="0" applyFont="1" applyFill="1" applyBorder="1" applyAlignment="1">
      <alignment horizontal="right" vertical="center" wrapText="1"/>
    </xf>
    <xf numFmtId="0" fontId="17" fillId="6" borderId="44" xfId="0" applyFont="1" applyFill="1" applyBorder="1" applyAlignment="1">
      <alignment horizontal="center" vertical="center" wrapText="1"/>
    </xf>
    <xf numFmtId="3" fontId="1" fillId="6" borderId="37" xfId="0" applyNumberFormat="1" applyFont="1" applyFill="1" applyBorder="1" applyAlignment="1">
      <alignment horizontal="center" vertical="center"/>
    </xf>
    <xf numFmtId="0" fontId="1" fillId="0" borderId="58" xfId="0" applyFont="1" applyBorder="1" applyAlignment="1">
      <alignment horizontal="right" vertical="center"/>
    </xf>
    <xf numFmtId="0" fontId="1" fillId="0" borderId="58" xfId="0" applyFont="1" applyBorder="1" applyAlignment="1">
      <alignment horizontal="center" vertical="center"/>
    </xf>
    <xf numFmtId="0" fontId="21" fillId="7" borderId="12" xfId="0" applyFont="1" applyFill="1" applyBorder="1" applyAlignment="1">
      <alignment vertical="center"/>
    </xf>
    <xf numFmtId="0" fontId="21" fillId="7" borderId="18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49" fontId="13" fillId="0" borderId="57" xfId="0" applyNumberFormat="1" applyFont="1" applyBorder="1" applyAlignment="1">
      <alignment horizontal="center" vertical="center"/>
    </xf>
    <xf numFmtId="49" fontId="13" fillId="0" borderId="59" xfId="0" applyNumberFormat="1" applyFont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3" fontId="25" fillId="3" borderId="60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3" fillId="7" borderId="12" xfId="0" applyFont="1" applyFill="1" applyBorder="1" applyAlignment="1">
      <alignment vertical="center"/>
    </xf>
    <xf numFmtId="0" fontId="24" fillId="2" borderId="56" xfId="0" applyFont="1" applyFill="1" applyBorder="1" applyAlignment="1">
      <alignment horizontal="center" vertical="center" wrapText="1"/>
    </xf>
    <xf numFmtId="0" fontId="24" fillId="2" borderId="55" xfId="0" applyFont="1" applyFill="1" applyBorder="1" applyAlignment="1">
      <alignment horizontal="right" vertical="center"/>
    </xf>
    <xf numFmtId="0" fontId="26" fillId="2" borderId="55" xfId="0" applyFont="1" applyFill="1" applyBorder="1" applyAlignment="1">
      <alignment horizontal="center" vertical="center"/>
    </xf>
    <xf numFmtId="3" fontId="25" fillId="2" borderId="55" xfId="0" applyNumberFormat="1" applyFont="1" applyFill="1" applyBorder="1" applyAlignment="1">
      <alignment horizontal="center" vertical="center"/>
    </xf>
    <xf numFmtId="0" fontId="25" fillId="6" borderId="61" xfId="0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right" vertical="center" wrapText="1"/>
    </xf>
    <xf numFmtId="0" fontId="26" fillId="0" borderId="61" xfId="0" applyFont="1" applyBorder="1" applyAlignment="1">
      <alignment horizontal="center" vertical="center" wrapText="1"/>
    </xf>
    <xf numFmtId="3" fontId="25" fillId="0" borderId="61" xfId="0" applyNumberFormat="1" applyFont="1" applyBorder="1" applyAlignment="1">
      <alignment horizontal="center" vertical="center"/>
    </xf>
    <xf numFmtId="0" fontId="24" fillId="2" borderId="55" xfId="0" applyFont="1" applyFill="1" applyBorder="1" applyAlignment="1">
      <alignment horizontal="right" vertical="center" wrapText="1"/>
    </xf>
    <xf numFmtId="0" fontId="26" fillId="2" borderId="55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right" vertical="center" wrapText="1"/>
    </xf>
    <xf numFmtId="0" fontId="26" fillId="6" borderId="6" xfId="0" applyFont="1" applyFill="1" applyBorder="1" applyAlignment="1">
      <alignment horizontal="center" vertical="center" wrapText="1"/>
    </xf>
    <xf numFmtId="3" fontId="25" fillId="6" borderId="6" xfId="0" applyNumberFormat="1" applyFont="1" applyFill="1" applyBorder="1" applyAlignment="1">
      <alignment horizontal="center" vertical="center"/>
    </xf>
    <xf numFmtId="0" fontId="27" fillId="6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right" vertical="center" wrapText="1"/>
    </xf>
    <xf numFmtId="0" fontId="26" fillId="0" borderId="6" xfId="0" applyFont="1" applyBorder="1" applyAlignment="1">
      <alignment horizontal="center" vertical="center" wrapText="1"/>
    </xf>
    <xf numFmtId="3" fontId="25" fillId="0" borderId="6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25" fillId="6" borderId="61" xfId="0" applyFont="1" applyFill="1" applyBorder="1" applyAlignment="1">
      <alignment horizontal="right" vertical="center" wrapText="1"/>
    </xf>
    <xf numFmtId="0" fontId="28" fillId="2" borderId="55" xfId="0" applyFont="1" applyFill="1" applyBorder="1" applyAlignment="1">
      <alignment horizontal="center" vertical="center" wrapText="1" readingOrder="1"/>
    </xf>
    <xf numFmtId="49" fontId="28" fillId="0" borderId="59" xfId="0" applyNumberFormat="1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58" xfId="0" applyFont="1" applyBorder="1" applyAlignment="1">
      <alignment horizontal="right" vertical="center"/>
    </xf>
    <xf numFmtId="0" fontId="25" fillId="0" borderId="58" xfId="0" applyFont="1" applyBorder="1" applyAlignment="1">
      <alignment horizontal="center" vertical="center"/>
    </xf>
    <xf numFmtId="49" fontId="28" fillId="0" borderId="57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readingOrder="2"/>
    </xf>
    <xf numFmtId="0" fontId="29" fillId="2" borderId="54" xfId="0" applyFont="1" applyFill="1" applyBorder="1" applyAlignment="1">
      <alignment horizontal="center" vertical="center" wrapText="1"/>
    </xf>
    <xf numFmtId="0" fontId="29" fillId="2" borderId="54" xfId="0" applyFont="1" applyFill="1" applyBorder="1" applyAlignment="1">
      <alignment horizontal="center" vertical="center" wrapText="1" readingOrder="2"/>
    </xf>
    <xf numFmtId="0" fontId="30" fillId="2" borderId="60" xfId="0" applyFont="1" applyFill="1" applyBorder="1" applyAlignment="1">
      <alignment horizontal="right" vertical="center"/>
    </xf>
    <xf numFmtId="3" fontId="30" fillId="2" borderId="60" xfId="0" applyNumberFormat="1" applyFont="1" applyFill="1" applyBorder="1" applyAlignment="1">
      <alignment horizontal="center" vertical="center"/>
    </xf>
    <xf numFmtId="0" fontId="30" fillId="4" borderId="61" xfId="0" applyFont="1" applyFill="1" applyBorder="1" applyAlignment="1">
      <alignment horizontal="center" vertical="center" wrapText="1"/>
    </xf>
    <xf numFmtId="0" fontId="30" fillId="4" borderId="61" xfId="0" applyFont="1" applyFill="1" applyBorder="1" applyAlignment="1">
      <alignment horizontal="center" vertical="center" wrapText="1" readingOrder="2"/>
    </xf>
    <xf numFmtId="0" fontId="30" fillId="0" borderId="61" xfId="0" applyFont="1" applyBorder="1" applyAlignment="1">
      <alignment horizontal="right" vertical="center" wrapText="1"/>
    </xf>
    <xf numFmtId="0" fontId="31" fillId="0" borderId="61" xfId="0" applyFont="1" applyBorder="1" applyAlignment="1">
      <alignment horizontal="center" vertical="center" wrapText="1"/>
    </xf>
    <xf numFmtId="3" fontId="30" fillId="0" borderId="61" xfId="0" applyNumberFormat="1" applyFont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 wrapText="1"/>
    </xf>
    <xf numFmtId="0" fontId="30" fillId="4" borderId="21" xfId="0" applyFont="1" applyFill="1" applyBorder="1" applyAlignment="1">
      <alignment horizontal="center" vertical="center" wrapText="1" readingOrder="2"/>
    </xf>
    <xf numFmtId="0" fontId="30" fillId="0" borderId="21" xfId="0" applyFont="1" applyBorder="1" applyAlignment="1">
      <alignment horizontal="right" vertical="center"/>
    </xf>
    <xf numFmtId="0" fontId="31" fillId="0" borderId="21" xfId="0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0" fontId="29" fillId="2" borderId="5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 readingOrder="2"/>
    </xf>
    <xf numFmtId="0" fontId="29" fillId="2" borderId="55" xfId="0" applyFont="1" applyFill="1" applyBorder="1" applyAlignment="1">
      <alignment horizontal="right" vertical="center"/>
    </xf>
    <xf numFmtId="0" fontId="31" fillId="2" borderId="55" xfId="0" applyFont="1" applyFill="1" applyBorder="1" applyAlignment="1">
      <alignment horizontal="center" vertical="center"/>
    </xf>
    <xf numFmtId="3" fontId="30" fillId="2" borderId="55" xfId="0" applyNumberFormat="1" applyFont="1" applyFill="1" applyBorder="1" applyAlignment="1">
      <alignment horizontal="center" vertical="center"/>
    </xf>
    <xf numFmtId="0" fontId="30" fillId="6" borderId="61" xfId="0" applyFont="1" applyFill="1" applyBorder="1" applyAlignment="1">
      <alignment horizontal="center" vertical="center" wrapText="1"/>
    </xf>
    <xf numFmtId="0" fontId="30" fillId="6" borderId="61" xfId="0" applyFont="1" applyFill="1" applyBorder="1" applyAlignment="1">
      <alignment horizontal="center" vertical="center" wrapText="1" readingOrder="2"/>
    </xf>
    <xf numFmtId="0" fontId="30" fillId="4" borderId="6" xfId="0" applyFont="1" applyFill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center" vertical="center" wrapText="1" readingOrder="2"/>
    </xf>
    <xf numFmtId="0" fontId="30" fillId="0" borderId="6" xfId="0" applyFont="1" applyBorder="1" applyAlignment="1">
      <alignment horizontal="right" vertical="center" wrapText="1"/>
    </xf>
    <xf numFmtId="0" fontId="31" fillId="0" borderId="6" xfId="0" applyFont="1" applyBorder="1" applyAlignment="1">
      <alignment horizontal="center" vertical="center" wrapText="1"/>
    </xf>
    <xf numFmtId="3" fontId="30" fillId="0" borderId="6" xfId="0" applyNumberFormat="1" applyFont="1" applyBorder="1" applyAlignment="1">
      <alignment horizontal="center" vertical="center"/>
    </xf>
    <xf numFmtId="0" fontId="30" fillId="4" borderId="21" xfId="0" applyFont="1" applyFill="1" applyBorder="1" applyAlignment="1">
      <alignment horizontal="right" vertical="center" wrapText="1"/>
    </xf>
    <xf numFmtId="0" fontId="31" fillId="4" borderId="21" xfId="0" applyFont="1" applyFill="1" applyBorder="1" applyAlignment="1">
      <alignment horizontal="center" vertical="center" wrapText="1"/>
    </xf>
    <xf numFmtId="0" fontId="29" fillId="2" borderId="55" xfId="0" applyFont="1" applyFill="1" applyBorder="1" applyAlignment="1">
      <alignment horizontal="right" vertical="center" wrapText="1"/>
    </xf>
    <xf numFmtId="0" fontId="31" fillId="2" borderId="55" xfId="0" applyFont="1" applyFill="1" applyBorder="1" applyAlignment="1">
      <alignment horizontal="center" vertical="center" wrapText="1"/>
    </xf>
    <xf numFmtId="0" fontId="30" fillId="6" borderId="6" xfId="0" applyFont="1" applyFill="1" applyBorder="1" applyAlignment="1">
      <alignment horizontal="center" vertical="center" wrapText="1"/>
    </xf>
    <xf numFmtId="0" fontId="30" fillId="6" borderId="6" xfId="0" applyFont="1" applyFill="1" applyBorder="1" applyAlignment="1">
      <alignment horizontal="center" vertical="center" wrapText="1" readingOrder="2"/>
    </xf>
    <xf numFmtId="0" fontId="30" fillId="6" borderId="6" xfId="0" applyFont="1" applyFill="1" applyBorder="1" applyAlignment="1">
      <alignment horizontal="right" vertical="center" wrapText="1"/>
    </xf>
    <xf numFmtId="0" fontId="30" fillId="0" borderId="21" xfId="0" applyFont="1" applyBorder="1" applyAlignment="1">
      <alignment horizontal="right" vertical="center" wrapText="1"/>
    </xf>
    <xf numFmtId="0" fontId="31" fillId="0" borderId="21" xfId="0" applyFont="1" applyBorder="1" applyAlignment="1">
      <alignment horizontal="center" vertical="center" wrapText="1"/>
    </xf>
    <xf numFmtId="0" fontId="31" fillId="6" borderId="6" xfId="0" applyFont="1" applyFill="1" applyBorder="1" applyAlignment="1">
      <alignment horizontal="center" vertical="center" wrapText="1"/>
    </xf>
    <xf numFmtId="3" fontId="30" fillId="6" borderId="6" xfId="0" applyNumberFormat="1" applyFont="1" applyFill="1" applyBorder="1" applyAlignment="1">
      <alignment horizontal="center" vertical="center"/>
    </xf>
    <xf numFmtId="0" fontId="30" fillId="6" borderId="61" xfId="0" applyFont="1" applyFill="1" applyBorder="1" applyAlignment="1">
      <alignment horizontal="right" vertical="center" wrapText="1"/>
    </xf>
    <xf numFmtId="0" fontId="31" fillId="6" borderId="61" xfId="0" applyFont="1" applyFill="1" applyBorder="1" applyAlignment="1">
      <alignment horizontal="center" vertical="center" wrapText="1"/>
    </xf>
    <xf numFmtId="3" fontId="30" fillId="6" borderId="61" xfId="0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 readingOrder="2"/>
    </xf>
    <xf numFmtId="2" fontId="30" fillId="0" borderId="6" xfId="0" applyNumberFormat="1" applyFont="1" applyBorder="1" applyAlignment="1">
      <alignment horizontal="right" vertical="center" wrapText="1"/>
    </xf>
    <xf numFmtId="2" fontId="31" fillId="0" borderId="6" xfId="0" applyNumberFormat="1" applyFont="1" applyBorder="1" applyAlignment="1">
      <alignment horizontal="center" vertical="center" wrapText="1"/>
    </xf>
    <xf numFmtId="2" fontId="30" fillId="0" borderId="6" xfId="0" applyNumberFormat="1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 readingOrder="2"/>
    </xf>
    <xf numFmtId="0" fontId="13" fillId="2" borderId="55" xfId="0" applyFont="1" applyFill="1" applyBorder="1" applyAlignment="1">
      <alignment horizontal="center" vertical="center" wrapText="1" readingOrder="1"/>
    </xf>
    <xf numFmtId="0" fontId="13" fillId="2" borderId="55" xfId="0" applyFont="1" applyFill="1" applyBorder="1" applyAlignment="1">
      <alignment horizontal="center" vertical="center" wrapText="1" readingOrder="2"/>
    </xf>
    <xf numFmtId="0" fontId="29" fillId="2" borderId="55" xfId="0" applyFont="1" applyFill="1" applyBorder="1" applyAlignment="1">
      <alignment horizontal="center" vertical="center" wrapText="1"/>
    </xf>
    <xf numFmtId="0" fontId="29" fillId="2" borderId="55" xfId="0" applyFont="1" applyFill="1" applyBorder="1" applyAlignment="1">
      <alignment horizontal="center" vertical="center" wrapText="1" readingOrder="2"/>
    </xf>
    <xf numFmtId="0" fontId="31" fillId="4" borderId="6" xfId="0" applyFont="1" applyFill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right" vertical="center" wrapText="1"/>
    </xf>
    <xf numFmtId="3" fontId="30" fillId="4" borderId="6" xfId="0" applyNumberFormat="1" applyFont="1" applyFill="1" applyBorder="1" applyAlignment="1">
      <alignment horizontal="center" vertical="center"/>
    </xf>
    <xf numFmtId="0" fontId="33" fillId="2" borderId="56" xfId="0" applyFont="1" applyFill="1" applyBorder="1" applyAlignment="1">
      <alignment horizontal="center" vertical="center" wrapText="1"/>
    </xf>
    <xf numFmtId="0" fontId="34" fillId="6" borderId="61" xfId="0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center" vertical="center" wrapText="1" readingOrder="2"/>
    </xf>
    <xf numFmtId="0" fontId="36" fillId="2" borderId="55" xfId="0" applyFont="1" applyFill="1" applyBorder="1" applyAlignment="1">
      <alignment horizontal="center" vertical="center" wrapText="1" readingOrder="1"/>
    </xf>
    <xf numFmtId="49" fontId="37" fillId="2" borderId="55" xfId="1" applyNumberFormat="1" applyFont="1" applyFill="1" applyBorder="1" applyAlignment="1">
      <alignment horizontal="center" vertical="center"/>
    </xf>
    <xf numFmtId="49" fontId="37" fillId="2" borderId="63" xfId="1" applyNumberFormat="1" applyFont="1" applyFill="1" applyBorder="1" applyAlignment="1">
      <alignment horizontal="center" vertical="center"/>
    </xf>
    <xf numFmtId="49" fontId="37" fillId="2" borderId="62" xfId="1" applyNumberFormat="1" applyFont="1" applyFill="1" applyBorder="1" applyAlignment="1">
      <alignment horizontal="center" vertical="center"/>
    </xf>
    <xf numFmtId="49" fontId="36" fillId="2" borderId="62" xfId="0" applyNumberFormat="1" applyFont="1" applyFill="1" applyBorder="1" applyAlignment="1">
      <alignment horizontal="center" vertical="center"/>
    </xf>
    <xf numFmtId="0" fontId="30" fillId="6" borderId="21" xfId="0" applyFont="1" applyFill="1" applyBorder="1" applyAlignment="1">
      <alignment horizontal="center" vertical="center" wrapText="1"/>
    </xf>
    <xf numFmtId="0" fontId="30" fillId="6" borderId="21" xfId="0" applyFont="1" applyFill="1" applyBorder="1" applyAlignment="1">
      <alignment horizontal="center" vertical="center" wrapText="1" readingOrder="2"/>
    </xf>
    <xf numFmtId="0" fontId="30" fillId="6" borderId="21" xfId="0" applyFont="1" applyFill="1" applyBorder="1" applyAlignment="1">
      <alignment horizontal="right" vertical="center" wrapText="1"/>
    </xf>
    <xf numFmtId="3" fontId="30" fillId="6" borderId="21" xfId="0" applyNumberFormat="1" applyFont="1" applyFill="1" applyBorder="1" applyAlignment="1">
      <alignment horizontal="center" vertical="center"/>
    </xf>
    <xf numFmtId="49" fontId="13" fillId="2" borderId="66" xfId="0" applyNumberFormat="1" applyFont="1" applyFill="1" applyBorder="1" applyAlignment="1">
      <alignment horizontal="center" vertical="center"/>
    </xf>
    <xf numFmtId="49" fontId="13" fillId="2" borderId="67" xfId="0" applyNumberFormat="1" applyFont="1" applyFill="1" applyBorder="1" applyAlignment="1">
      <alignment horizontal="center" vertical="center"/>
    </xf>
    <xf numFmtId="0" fontId="18" fillId="8" borderId="60" xfId="0" applyFont="1" applyFill="1" applyBorder="1" applyAlignment="1">
      <alignment horizontal="center" vertical="center" wrapText="1"/>
    </xf>
    <xf numFmtId="0" fontId="18" fillId="8" borderId="54" xfId="0" applyFont="1" applyFill="1" applyBorder="1" applyAlignment="1">
      <alignment horizontal="center" vertical="center"/>
    </xf>
    <xf numFmtId="0" fontId="18" fillId="8" borderId="60" xfId="0" applyFont="1" applyFill="1" applyBorder="1" applyAlignment="1">
      <alignment horizontal="center" vertical="center" wrapText="1" readingOrder="2"/>
    </xf>
    <xf numFmtId="0" fontId="18" fillId="8" borderId="60" xfId="0" applyFont="1" applyFill="1" applyBorder="1" applyAlignment="1">
      <alignment horizontal="center" vertical="center"/>
    </xf>
    <xf numFmtId="3" fontId="2" fillId="8" borderId="60" xfId="0" applyNumberFormat="1" applyFont="1" applyFill="1" applyBorder="1" applyAlignment="1">
      <alignment horizontal="center" vertical="center"/>
    </xf>
    <xf numFmtId="0" fontId="18" fillId="8" borderId="55" xfId="0" applyFont="1" applyFill="1" applyBorder="1" applyAlignment="1">
      <alignment horizontal="center" vertical="center"/>
    </xf>
    <xf numFmtId="0" fontId="18" fillId="8" borderId="55" xfId="0" applyFont="1" applyFill="1" applyBorder="1" applyAlignment="1">
      <alignment horizontal="center" vertical="center" wrapText="1"/>
    </xf>
    <xf numFmtId="0" fontId="18" fillId="8" borderId="55" xfId="0" applyFont="1" applyFill="1" applyBorder="1" applyAlignment="1">
      <alignment horizontal="center" vertical="center" wrapText="1" readingOrder="2"/>
    </xf>
    <xf numFmtId="49" fontId="38" fillId="2" borderId="56" xfId="1" applyNumberFormat="1" applyFont="1" applyFill="1" applyBorder="1" applyAlignment="1">
      <alignment horizontal="center" vertical="center"/>
    </xf>
    <xf numFmtId="49" fontId="39" fillId="2" borderId="65" xfId="1" applyNumberFormat="1" applyFont="1" applyFill="1" applyBorder="1" applyAlignment="1">
      <alignment horizontal="center" vertical="center"/>
    </xf>
    <xf numFmtId="49" fontId="39" fillId="2" borderId="67" xfId="1" applyNumberFormat="1" applyFont="1" applyFill="1" applyBorder="1" applyAlignment="1">
      <alignment horizontal="center" vertical="center"/>
    </xf>
    <xf numFmtId="2" fontId="30" fillId="0" borderId="6" xfId="0" applyNumberFormat="1" applyFont="1" applyBorder="1" applyAlignment="1">
      <alignment horizontal="center" vertical="center" wrapText="1"/>
    </xf>
    <xf numFmtId="2" fontId="30" fillId="0" borderId="6" xfId="0" applyNumberFormat="1" applyFont="1" applyBorder="1" applyAlignment="1">
      <alignment horizontal="center" vertical="center" wrapText="1" readingOrder="2"/>
    </xf>
    <xf numFmtId="49" fontId="39" fillId="2" borderId="66" xfId="1" applyNumberFormat="1" applyFont="1" applyFill="1" applyBorder="1" applyAlignment="1">
      <alignment horizontal="center" vertical="center"/>
    </xf>
    <xf numFmtId="3" fontId="30" fillId="0" borderId="49" xfId="0" applyNumberFormat="1" applyFont="1" applyBorder="1" applyAlignment="1">
      <alignment horizontal="center" vertical="center"/>
    </xf>
    <xf numFmtId="3" fontId="30" fillId="0" borderId="68" xfId="0" applyNumberFormat="1" applyFont="1" applyBorder="1" applyAlignment="1">
      <alignment horizontal="center" vertical="center"/>
    </xf>
    <xf numFmtId="3" fontId="30" fillId="0" borderId="50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21" fillId="8" borderId="64" xfId="0" applyFont="1" applyFill="1" applyBorder="1" applyAlignment="1">
      <alignment horizontal="center" vertical="center"/>
    </xf>
    <xf numFmtId="0" fontId="21" fillId="8" borderId="58" xfId="0" applyFont="1" applyFill="1" applyBorder="1" applyAlignment="1">
      <alignment horizontal="center" vertical="center"/>
    </xf>
    <xf numFmtId="0" fontId="23" fillId="3" borderId="64" xfId="0" applyFont="1" applyFill="1" applyBorder="1" applyAlignment="1">
      <alignment horizontal="center" vertical="center"/>
    </xf>
    <xf numFmtId="0" fontId="23" fillId="3" borderId="58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 vertical="center" wrapText="1"/>
    </xf>
    <xf numFmtId="0" fontId="24" fillId="3" borderId="6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30" fillId="2" borderId="60" xfId="0" applyFont="1" applyFill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/>
    </xf>
    <xf numFmtId="0" fontId="29" fillId="2" borderId="55" xfId="0" applyFont="1" applyFill="1" applyBorder="1" applyAlignment="1">
      <alignment horizontal="center" vertical="center"/>
    </xf>
    <xf numFmtId="0" fontId="30" fillId="6" borderId="26" xfId="0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3 24 100 37 63 2 2" xfId="2" xr:uid="{6EE33E25-5F1F-43AB-81F4-E764BEA0081A}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Webdings"/>
        <family val="1"/>
        <charset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vertAlign val="baseline"/>
        <color theme="1"/>
      </font>
      <numFmt numFmtId="30" formatCode="@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medium">
          <color indexed="64"/>
        </lef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Titr"/>
        <charset val="178"/>
        <scheme val="none"/>
      </font>
      <fill>
        <patternFill patternType="solid">
          <fgColor indexed="64"/>
          <bgColor rgb="FFCC99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770F3-5B6D-4AAC-A515-9136D2A7D157}" name="Table1" displayName="Table1" ref="B1:J96" totalsRowShown="0" headerRowDxfId="11" dataDxfId="10" tableBorderDxfId="9">
  <autoFilter ref="B1:J96" xr:uid="{90E770F3-5B6D-4AAC-A515-9136D2A7D157}"/>
  <tableColumns count="9">
    <tableColumn id="1" xr3:uid="{0C3107BC-5AEE-4F28-A450-F412ACEB5A05}" name="کد" dataDxfId="8" dataCellStyle="Hyperlink"/>
    <tableColumn id="2" xr3:uid="{50FF5458-2CB3-4748-B97D-D7B76F0F2ECA}" name="کلیم های پروژه های خط" dataDxfId="7"/>
    <tableColumn id="3" xr3:uid="{CAC1899C-EE6D-4C4F-A2F1-1F2551DB825D}" name="بخشنامه، ضوابط و بندهای قراردادی" dataDxfId="6"/>
    <tableColumn id="4" xr3:uid="{CD743CEF-D8CF-49D6-9710-A09518CFA394}" name="شرح اقدامات" dataDxfId="5"/>
    <tableColumn id="9" xr3:uid="{5E22D058-18B9-4194-8B60-088C80904A48}" name="روش اخذ" dataDxfId="0"/>
    <tableColumn id="5" xr3:uid="{2958C704-3432-4CC2-8855-311200630F9B}" name="در دست اقدام" dataDxfId="4"/>
    <tableColumn id="6" xr3:uid="{97CE93F5-A0E2-4253-AADC-2F880C6E8645}" name="بار مالی اولیه(ریال)_x000a_(میزان ادعای پیمانکار)" dataDxfId="3"/>
    <tableColumn id="7" xr3:uid="{2B947553-81CD-40A7-8D88-9C2F181D54D9}" name="اخذ شده(ریال)_x000a_(میزان سود حاصل از بررسی ادعا)" dataDxfId="2"/>
    <tableColumn id="8" xr3:uid="{9130D879-A851-42B7-9B94-A8BFCDB01C33}" name="بار مالی نهایی(ریال)_x000a_(درصورت اخذ)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1605;&#1583;&#1740;&#1585;&#1740;&#1578;%20&#1575;&#1583;&#1593;&#1575;%20&#1608;%20&#1705;&#1604;&#1740;&#1605;\X10-&#1580;&#1606;&#1578;%20&#1570;&#1576;&#1575;&#1583;\001.X10-%20&#1711;&#1575;&#1604;&#1585;&#1740;%20&#1606;&#1608;&#1575;&#1585;%20&#1606;&#1602;&#1575;&#1604;&#1607;" TargetMode="External"/><Relationship Id="rId18" Type="http://schemas.openxmlformats.org/officeDocument/2006/relationships/hyperlink" Target="&#1605;&#1583;&#1740;&#1585;&#1740;&#1578;%20&#1575;&#1583;&#1593;&#1575;%20&#1608;%20&#1705;&#1604;&#1740;&#1605;\TURL10\002.TURL10-%20&#1593;&#1605;&#1604;&#1740;&#1575;&#1578;%20&#1582;&#1575;&#1705;&#1740;%20&#1575;&#1740;&#1587;&#1578;&#1711;&#1575;&#1607;%20&#1585;&#1608;&#1576;&#1575;&#1586;(&#1581;&#1601;&#1575;&#1585;&#1740;)" TargetMode="External"/><Relationship Id="rId26" Type="http://schemas.openxmlformats.org/officeDocument/2006/relationships/hyperlink" Target="&#1605;&#1583;&#1740;&#1585;&#1740;&#1578;%20&#1575;&#1583;&#1593;&#1575;%20&#1608;%20&#1705;&#1604;&#1740;&#1605;\OTHERS\001.OTHER-%20&#1578;&#1575;&#1582;&#1740;&#1585;&#1575;&#1578;" TargetMode="External"/><Relationship Id="rId39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2.Z10%20-%20&#1605;&#1593;&#1575;&#1585;&#1590;%20&#1576;&#1585;&#1602;" TargetMode="External"/><Relationship Id="rId21" Type="http://schemas.openxmlformats.org/officeDocument/2006/relationships/hyperlink" Target="&#1605;&#1583;&#1740;&#1585;&#1740;&#1578;%20&#1575;&#1583;&#1593;&#1575;%20&#1608;%20&#1705;&#1604;&#1740;&#1605;\TURL10\005.TURL10-%20&#1593;&#1605;&#1604;&#1740;&#1575;&#1578;%20&#1582;&#1575;&#1705;&#1740;%20&#1585;&#1608;&#1576;&#1575;&#1586;%20(&#1662;&#1740;%20&#1705;&#1606;&#1740;)" TargetMode="External"/><Relationship Id="rId34" Type="http://schemas.openxmlformats.org/officeDocument/2006/relationships/hyperlink" Target="&#1605;&#1583;&#1740;&#1585;&#1740;&#1578;%20&#1575;&#1583;&#1593;&#1575;%20&#1608;%20&#1705;&#1604;&#1740;&#1605;\Z10-7%201-&#1662;&#1688;&#1608;&#1607;&#1588;\002.Z107%201%20-%20&#1593;&#1583;&#1605;%20&#1578;&#1582;&#1589;&#1740;&#1589;%20&#1576;&#1585;&#1602;%20&#1576;&#1607;%20&#1705;&#1575;&#1585;&#1711;&#1575;&#1607;" TargetMode="External"/><Relationship Id="rId42" Type="http://schemas.openxmlformats.org/officeDocument/2006/relationships/hyperlink" Target="&#1605;&#1583;&#1740;&#1585;&#1740;&#1578;%20&#1575;&#1583;&#1593;&#1575;%20&#1608;%20&#1705;&#1604;&#1740;&#1605;\TURL10\008.TURL10-%20&#1578;&#1575;&#1582;&#1740;&#1585;%20&#1583;&#1585;%20&#1578;&#1581;&#1608;&#1740;&#1604;%20&#1705;&#1575;&#1585;&#1711;&#1575;&#1607;" TargetMode="External"/><Relationship Id="rId47" Type="http://schemas.openxmlformats.org/officeDocument/2006/relationships/hyperlink" Target="&#1605;&#1583;&#1740;&#1585;&#1740;&#1578;%20&#1575;&#1583;&#1593;&#1575;%20&#1608;%20&#1705;&#1604;&#1740;&#1605;\Z10-5-&#1583;&#1585;&#1740;&#1575;&#1670;&#1607;\001.Z10-5%20-%20&#1578;&#1580;&#1607;&#1740;&#1586;%20&#1705;&#1575;&#1585;&#1711;&#1575;&#1607;%20&#1605;&#1575;&#1586;&#1575;&#1583;" TargetMode="External"/><Relationship Id="rId50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3.Contract%202nd-%20&#1601;&#1585;&#1582;&#1740;%20&#1608;%20&#1593;&#1608;&#1606;&#1740;169" TargetMode="External"/><Relationship Id="rId55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7.Contract%202nd%20-%20211%20&#1581;&#1576;&#1740;&#1576;%20&#1606;&#1608;&#1585;&#1662;&#1585;&#1587;&#1578;" TargetMode="External"/><Relationship Id="rId63" Type="http://schemas.openxmlformats.org/officeDocument/2006/relationships/table" Target="../tables/table1.xml"/><Relationship Id="rId7" Type="http://schemas.openxmlformats.org/officeDocument/2006/relationships/hyperlink" Target="&#1605;&#1583;&#1740;&#1585;&#1740;&#1578;%20&#1575;&#1583;&#1593;&#1575;%20&#1608;%20&#1705;&#1604;&#1740;&#1605;\V10-&#1587;&#1585;&#1583;&#1575;&#1585;%20&#1580;&#1606;&#1711;&#1604;" TargetMode="External"/><Relationship Id="rId2" Type="http://schemas.openxmlformats.org/officeDocument/2006/relationships/hyperlink" Target="&#1605;&#1583;&#1740;&#1585;&#1740;&#1578;%20&#1575;&#1583;&#1593;&#1575;%20&#1608;%20&#1705;&#1604;&#1740;&#1605;\Z10-7%201-&#1662;&#1688;&#1608;&#1607;&#1588;" TargetMode="External"/><Relationship Id="rId16" Type="http://schemas.openxmlformats.org/officeDocument/2006/relationships/hyperlink" Target="&#1605;&#1583;&#1740;&#1585;&#1740;&#1578;%20&#1575;&#1583;&#1593;&#1575;%20&#1608;%20&#1705;&#1604;&#1740;&#1605;\V10-&#1587;&#1585;&#1583;&#1575;&#1585;%20&#1580;&#1606;&#1711;&#1604;\001.V10-%20&#1580;&#1575;&#1576;&#1580;&#1575;&#1740;&#1740;%20&#1583;&#1608;%20&#1585;&#1588;&#1578;&#1607;%20&#1604;&#1608;&#1604;&#1607;%20&#1570;&#1576;%20(&#1606;&#1607;&#1575;&#1604;%20&#1587;&#1576;&#1586;&#1740;&#1606;&#1607;)" TargetMode="External"/><Relationship Id="rId29" Type="http://schemas.openxmlformats.org/officeDocument/2006/relationships/hyperlink" Target="&#1605;&#1583;&#1740;&#1585;&#1740;&#1578;%20&#1575;&#1583;&#1593;&#1575;%20&#1608;%20&#1705;&#1604;&#1740;&#1605;\OTHERS\004.OTHER-%20&#1606;&#1575;&#1605;&#1607;%20&#1601;&#1585;&#1605;&#1578;%20&#1582;&#1583;&#1605;&#1575;&#1578;%20&#1576;&#1607;%20&#1602;&#1585;&#1575;&#1585;&#1583;&#1575;&#1583;&#1607;&#1575;" TargetMode="External"/><Relationship Id="rId11" Type="http://schemas.openxmlformats.org/officeDocument/2006/relationships/hyperlink" Target="&#1605;&#1583;&#1740;&#1585;&#1740;&#1578;%20&#1575;&#1583;&#1593;&#1575;%20&#1608;%20&#1705;&#1604;&#1740;&#1605;\TBM1" TargetMode="External"/><Relationship Id="rId24" Type="http://schemas.openxmlformats.org/officeDocument/2006/relationships/hyperlink" Target="&#1605;&#1583;&#1740;&#1585;&#1740;&#1578;%20&#1575;&#1583;&#1593;&#1575;%20&#1608;%20&#1705;&#1604;&#1740;&#1605;\TBM1\002.TBM1-%20&#1580;&#1608;&#1586;&#1575;&#1606;&#1740;%20&#1588;&#1585;&#1602;&#1740;" TargetMode="External"/><Relationship Id="rId32" Type="http://schemas.openxmlformats.org/officeDocument/2006/relationships/hyperlink" Target="&#1605;&#1583;&#1740;&#1585;&#1740;&#1578;%20&#1575;&#1583;&#1593;&#1575;%20&#1608;%20&#1705;&#1604;&#1740;&#1605;\X10-&#1580;&#1606;&#1578;%20&#1570;&#1576;&#1575;&#1583;\006.X10-%20&#1601;&#1593;&#1575;&#1604;&#1740;&#1578;%20&#1575;&#1740;&#1587;&#1578;&#1711;&#1575;&#1607;%20&#1580;&#1606;&#1578;%20&#1570;&#1576;&#1575;&#1583;" TargetMode="External"/><Relationship Id="rId37" Type="http://schemas.openxmlformats.org/officeDocument/2006/relationships/hyperlink" Target="&#1605;&#1583;&#1740;&#1585;&#1740;&#1578;%20&#1575;&#1583;&#1593;&#1575;%20&#1608;%20&#1705;&#1604;&#1740;&#1605;\Z10-2-&#1575;&#1578;&#1585;&#1740;&#1588;\003.Z10-2%20-%20&#1593;&#1583;&#1605;%20&#1578;&#1582;&#1589;&#1740;&#1589;%20&#1576;&#1585;&#1602;%20&#1576;&#1607;%20&#1705;&#1575;&#1585;&#1711;&#1575;&#1607;" TargetMode="External"/><Relationship Id="rId40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3.Z10%20-%20&#1575;&#1590;&#1575;&#1601;&#1607;%20&#1581;&#1601;&#1575;&#1585;&#1740;%20&#1588;&#1605;&#1593;%20&#1607;&#1575;" TargetMode="External"/><Relationship Id="rId45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4.Contract%202nd-%20&#1588;&#1585;&#1705;&#1578;%20&#1576;&#1604;&#1606;&#1583;%20&#1662;&#1575;&#1740;&#1607;%20&#1587;&#1575;&#1586;&#1575;&#1606;%20&#1585;&#1575;&#1576;&#1740;&#1606;197" TargetMode="External"/><Relationship Id="rId53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6.Contract%202nd-%20&#1711;&#1604;&#1586;&#1575;&#1585;%20239" TargetMode="External"/><Relationship Id="rId58" Type="http://schemas.openxmlformats.org/officeDocument/2006/relationships/hyperlink" Target="&#1605;&#1583;&#1740;&#1585;&#1740;&#1578;%20&#1575;&#1583;&#1593;&#1575;%20&#1608;%20&#1705;&#1604;&#1740;&#1605;\OTHERS\008.OTHERS%20-%20&#1583;&#1585;&#1587;&#1578;%20&#1705;&#1585;&#1583;&#1606;%20&#1670;&#1705;%20&#1604;&#1740;&#1587;&#1578;%20&#1583;&#1585;%20&#1601;&#1585;&#1605;&#1578;%20&#1582;&#1591;%2010" TargetMode="External"/><Relationship Id="rId5" Type="http://schemas.openxmlformats.org/officeDocument/2006/relationships/hyperlink" Target="&#1605;&#1583;&#1740;&#1585;&#1740;&#1578;%20&#1575;&#1583;&#1593;&#1575;%20&#1608;%20&#1705;&#1604;&#1740;&#1605;\X10-&#1580;&#1606;&#1578;%20&#1570;&#1576;&#1575;&#1583;" TargetMode="External"/><Relationship Id="rId61" Type="http://schemas.openxmlformats.org/officeDocument/2006/relationships/hyperlink" Target="&#1605;&#1583;&#1740;&#1585;&#1740;&#1578;%20&#1575;&#1583;&#1593;&#1575;%20&#1608;%20&#1705;&#1604;&#1740;&#1605;\OTHERS\011.OTHERS%20&#1605;&#1608;&#1575;&#1585;&#1583;%20&#1575;&#1582;&#1578;&#1604;&#1575;&#1601;&#1740;%20&#1589;&#1608;&#1585;&#1578;%20&#1608;&#1590;&#1593;&#1740;&#1578;" TargetMode="External"/><Relationship Id="rId19" Type="http://schemas.openxmlformats.org/officeDocument/2006/relationships/hyperlink" Target="&#1605;&#1583;&#1740;&#1585;&#1740;&#1578;%20&#1575;&#1583;&#1593;&#1575;%20&#1608;%20&#1705;&#1604;&#1740;&#1605;\TURL10\003.TURL10-&#1581;&#1605;&#1604;%20&#1711;&#1604;" TargetMode="External"/><Relationship Id="rId14" Type="http://schemas.openxmlformats.org/officeDocument/2006/relationships/hyperlink" Target="&#1605;&#1583;&#1740;&#1585;&#1740;&#1578;%20&#1575;&#1583;&#1593;&#1575;%20&#1608;%20&#1705;&#1604;&#1740;&#1605;\X10-&#1580;&#1606;&#1578;%20&#1570;&#1576;&#1575;&#1583;\002.X10-%20&#1607;&#1586;&#1740;&#1606;&#1607;%20&#1607;&#1575;&#1740;%20&#1604;&#1580;&#1587;&#1578;&#1740;&#1705;%20&#1575;&#1608;&#1585;&#1607;&#1575;&#1604;%20&#1583;&#1587;&#1578;&#1711;&#1575;&#1607;%20&#1581;&#1601;&#1575;&#1585;%20&#1583;&#1608;&#1605;" TargetMode="External"/><Relationship Id="rId22" Type="http://schemas.openxmlformats.org/officeDocument/2006/relationships/hyperlink" Target="&#1605;&#1583;&#1740;&#1585;&#1740;&#1578;%20&#1575;&#1583;&#1593;&#1575;%20&#1608;%20&#1705;&#1604;&#1740;&#1605;\TURL10\006.TURL10-%20&#1575;&#1587;&#1578;&#1585;&#1575;&#1578;" TargetMode="External"/><Relationship Id="rId27" Type="http://schemas.openxmlformats.org/officeDocument/2006/relationships/hyperlink" Target="&#1605;&#1583;&#1740;&#1585;&#1740;&#1578;%20&#1575;&#1583;&#1593;&#1575;%20&#1608;%20&#1705;&#1604;&#1740;&#1605;\OTHERS\002.OTHER-%20&#1582;&#1583;&#1605;&#1575;&#1578;%20&#1575;&#1585;&#1575;&#1574;&#1607;%20&#1588;&#1583;&#1607;" TargetMode="External"/><Relationship Id="rId30" Type="http://schemas.openxmlformats.org/officeDocument/2006/relationships/hyperlink" Target="&#1605;&#1583;&#1740;&#1585;&#1740;&#1578;%20&#1575;&#1583;&#1593;&#1575;%20&#1608;%20&#1705;&#1604;&#1740;&#1605;\X10-&#1580;&#1606;&#1578;%20&#1570;&#1576;&#1575;&#1583;\004.X10-%20&#1576;&#1585;&#1602;%20&#1583;&#1587;&#1578;&#1711;&#1575;&#1607;%20&#1581;&#1601;&#1575;&#1585;%20&#1605;&#1705;&#1575;&#1606;&#1740;&#1586;&#1607;%20&#1583;&#1608;&#1605;" TargetMode="External"/><Relationship Id="rId35" Type="http://schemas.openxmlformats.org/officeDocument/2006/relationships/hyperlink" Target="&#1605;&#1583;&#1740;&#1585;&#1740;&#1578;%20&#1575;&#1583;&#1593;&#1575;%20&#1608;%20&#1705;&#1604;&#1740;&#1605;\Z10-2-&#1575;&#1578;&#1585;&#1740;&#1588;\001.Z10-2%20-%20&#1607;&#1586;&#1740;&#1606;&#1607;%20&#1607;&#1575;&#1740;%20&#1580;&#1605;&#1593;%20&#1705;&#1585;&#1583;&#1606;%20&#1581;&#1589;&#1575;&#1585;" TargetMode="External"/><Relationship Id="rId43" Type="http://schemas.openxmlformats.org/officeDocument/2006/relationships/hyperlink" Target="&#1605;&#1583;&#1740;&#1585;&#1740;&#1578;%20&#1575;&#1583;&#1593;&#1575;%20&#1608;%20&#1705;&#1604;&#1740;&#1605;\OTHERS\005.OTHERS-%20&#1602;&#1591;&#1593;&#1740;%20&#1576;&#1585;&#1602;%20&#1608;%20&#1570;&#1604;&#1608;&#1583;&#1711;&#1740;%20&#1607;&#1608;&#1575;" TargetMode="External"/><Relationship Id="rId48" Type="http://schemas.openxmlformats.org/officeDocument/2006/relationships/hyperlink" Target="&#1605;&#1583;&#1740;&#1585;&#1740;&#1578;%20&#1575;&#1583;&#1593;&#1575;%20&#1608;%20&#1705;&#1604;&#1740;&#1605;\TURL10\010.TURL10-%20&#1588;&#1585;&#1575;&#1740;&#1591;%20&#1601;&#1608;&#1585;&#1587;%20&#1605;&#1575;&#1688;&#1608;&#1585;" TargetMode="External"/><Relationship Id="rId56" Type="http://schemas.openxmlformats.org/officeDocument/2006/relationships/hyperlink" Target="&#1605;&#1583;&#1740;&#1585;&#1740;&#1578;%20&#1575;&#1583;&#1593;&#1575;%20&#1608;%20&#1705;&#1604;&#1740;&#1605;\TURL10\009.TURL10-%20&#1578;&#1594;&#1740;&#1740;&#1585;%20&#1605;&#1581;&#1583;&#1608;&#1740;&#1578;%20&#1601;&#1608;&#1575;&#1589;&#1604;%20&#1581;&#1605;&#1604;" TargetMode="External"/><Relationship Id="rId8" Type="http://schemas.openxmlformats.org/officeDocument/2006/relationships/hyperlink" Target="&#1605;&#1583;&#1740;&#1585;&#1740;&#1578;%20&#1575;&#1583;&#1593;&#1575;%20&#1608;%20&#1705;&#1604;&#1740;&#1605;\Z10-9-&#1608;&#1585;&#1583;&#1570;&#1608;&#1585;&#1583;" TargetMode="External"/><Relationship Id="rId51" Type="http://schemas.openxmlformats.org/officeDocument/2006/relationships/hyperlink" Target="&#1605;&#1583;&#1740;&#1585;&#1740;&#1578;%20&#1575;&#1583;&#1593;&#1575;%20&#1608;%20&#1705;&#1604;&#1740;&#1605;\X10-&#1580;&#1606;&#1578;%20&#1570;&#1576;&#1575;&#1583;\006.X10-%20&#1601;&#1593;&#1575;&#1604;&#1740;&#1578;%20&#1575;&#1740;&#1587;&#1578;&#1711;&#1575;&#1607;%20&#1580;&#1606;&#1578;%20&#1570;&#1576;&#1575;&#1583;" TargetMode="External"/><Relationship Id="rId3" Type="http://schemas.openxmlformats.org/officeDocument/2006/relationships/hyperlink" Target="&#1605;&#1583;&#1740;&#1585;&#1740;&#1578;%20&#1575;&#1583;&#1593;&#1575;%20&#1608;%20&#1705;&#1604;&#1740;&#1605;\Z10-2-&#1575;&#1578;&#1585;&#1740;&#1588;" TargetMode="External"/><Relationship Id="rId12" Type="http://schemas.openxmlformats.org/officeDocument/2006/relationships/hyperlink" Target="&#1605;&#1583;&#1740;&#1585;&#1740;&#1578;%20&#1575;&#1583;&#1593;&#1575;%20&#1608;%20&#1705;&#1604;&#1740;&#1605;\OTHERS" TargetMode="External"/><Relationship Id="rId17" Type="http://schemas.openxmlformats.org/officeDocument/2006/relationships/hyperlink" Target="&#1605;&#1583;&#1740;&#1585;&#1740;&#1578;%20&#1575;&#1583;&#1593;&#1575;%20&#1608;%20&#1705;&#1604;&#1740;&#1605;\TURL10\001.TURL10-%20&#1580;&#1585;&#1740;&#1605;&#1607;%20&#1576;&#1740;&#1605;&#1607;" TargetMode="External"/><Relationship Id="rId25" Type="http://schemas.openxmlformats.org/officeDocument/2006/relationships/hyperlink" Target="&#1605;&#1583;&#1740;&#1585;&#1740;&#1578;%20&#1575;&#1583;&#1593;&#1575;%20&#1608;%20&#1705;&#1604;&#1740;&#1605;\TBM1\003.TBM1-%20&#1578;&#1586;&#1585;&#1740;&#1602;%20&#1711;&#1585;&#1608;&#1578;%20&#1662;&#1588;&#1578;%20&#1587;&#1711;&#1605;&#1606;&#1578;" TargetMode="External"/><Relationship Id="rId33" Type="http://schemas.openxmlformats.org/officeDocument/2006/relationships/hyperlink" Target="&#1605;&#1583;&#1740;&#1585;&#1740;&#1578;%20&#1575;&#1583;&#1593;&#1575;%20&#1608;%20&#1705;&#1604;&#1740;&#1605;\Z10-7%201-&#1662;&#1688;&#1608;&#1607;&#1588;\001.Z107%201%20-%20&#1575;&#1590;&#1575;&#1601;&#1607;%20&#1581;&#1601;&#1575;&#1585;&#1740;%20&#1588;&#1605;&#1593;%20&#1607;&#1575;" TargetMode="External"/><Relationship Id="rId38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1.Z10%20-%20&#1581;&#1589;&#1575;&#1585;%20&#1705;&#1588;&#1740;%20&#1605;&#1580;&#1583;&#1583;" TargetMode="External"/><Relationship Id="rId46" Type="http://schemas.openxmlformats.org/officeDocument/2006/relationships/hyperlink" Target="&#1605;&#1583;&#1740;&#1585;&#1740;&#1578;%20&#1575;&#1583;&#1593;&#1575;%20&#1608;%20&#1705;&#1604;&#1740;&#1605;\OTHERS\006.OTHERS-%20&#1576;&#1740;&#1605;&#1607;%20&#1578;&#1605;&#1575;&#1605;%20&#1582;&#1591;&#1585;%201405" TargetMode="External"/><Relationship Id="rId59" Type="http://schemas.openxmlformats.org/officeDocument/2006/relationships/hyperlink" Target="&#1605;&#1583;&#1740;&#1585;&#1740;&#1578;%20&#1575;&#1583;&#1593;&#1575;%20&#1608;%20&#1705;&#1604;&#1740;&#1605;\OTHERS\009.OTHERS%20&#1580;&#1583;&#1608;&#1604;%20&#1585;&#1608;&#1705;&#1588;%20&#1605;&#1575;&#1604;&#1740;%20&#1608;%20&#1576;&#1585;&#1570;&#1608;&#1585;&#1583;%20&#1607;&#1586;&#1740;&#1606;&#1607;%20&#1575;&#1580;&#1585;&#1575;&#1740;&#1740;%20&#1575;&#1578;&#1585;&#1740;&#1588;" TargetMode="External"/><Relationship Id="rId20" Type="http://schemas.openxmlformats.org/officeDocument/2006/relationships/hyperlink" Target="&#1605;&#1583;&#1740;&#1585;&#1740;&#1578;%20&#1575;&#1583;&#1593;&#1575;%20&#1608;%20&#1705;&#1604;&#1740;&#1605;\TURL10\004.TURL10-&#1607;&#1586;&#1740;&#1606;&#1607;%20&#1607;&#1575;&#1740;%20&#1591;&#1585;&#1575;&#1581;&#1740;" TargetMode="External"/><Relationship Id="rId41" Type="http://schemas.openxmlformats.org/officeDocument/2006/relationships/hyperlink" Target="&#1605;&#1583;&#1740;&#1585;&#1740;&#1578;%20&#1575;&#1583;&#1593;&#1575;%20&#1608;%20&#1705;&#1604;&#1740;&#1605;\TURL10\007.TURL10-%20&#1586;&#1740;&#1576;&#1575;&#1587;&#1575;&#1586;&#1740;%20&#1583;&#1608;&#1585;&#1607;%20&#1575;&#1740;" TargetMode="External"/><Relationship Id="rId54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&#1605;&#1583;&#1740;&#1585;&#1740;&#1578;%20&#1575;&#1583;&#1593;&#1575;%20&#1608;%20&#1705;&#1604;&#1740;&#1605;\Z10-5-&#1583;&#1585;&#1740;&#1575;&#1670;&#1607;" TargetMode="External"/><Relationship Id="rId6" Type="http://schemas.openxmlformats.org/officeDocument/2006/relationships/hyperlink" Target="&#1605;&#1583;&#1740;&#1585;&#1740;&#1578;%20&#1575;&#1583;&#1593;&#1575;%20&#1608;%20&#1705;&#1604;&#1740;&#1605;\W10-&#1575;&#1740;&#1585;&#1575;&#1607;&#1606;&#1588;&#1607;&#1585;" TargetMode="External"/><Relationship Id="rId15" Type="http://schemas.openxmlformats.org/officeDocument/2006/relationships/hyperlink" Target="&#1605;&#1583;&#1740;&#1585;&#1740;&#1578;%20&#1575;&#1583;&#1593;&#1575;%20&#1608;%20&#1705;&#1604;&#1740;&#1605;\X10-&#1580;&#1606;&#1578;%20&#1570;&#1576;&#1575;&#1583;\003.X10-%20&#1607;&#1586;&#1740;&#1606;&#1607;%20&#1607;&#1575;&#1740;%20&#1604;&#1580;&#1587;&#1578;&#1740;&#1705;%20&#1606;&#1589;&#1576;%20&#1575;&#1587;&#1578;&#1585;&#1575;&#1578;" TargetMode="External"/><Relationship Id="rId23" Type="http://schemas.openxmlformats.org/officeDocument/2006/relationships/hyperlink" Target="&#1605;&#1583;&#1740;&#1585;&#1740;&#1578;%20&#1575;&#1583;&#1593;&#1575;%20&#1608;%20&#1705;&#1604;&#1740;&#1605;\TBM1\001.TBM1-%20&#1578;&#1608;&#1602;&#1601;%20&#1570;&#1740;&#1585;&#1575;&#1606;&#1575;" TargetMode="External"/><Relationship Id="rId28" Type="http://schemas.openxmlformats.org/officeDocument/2006/relationships/hyperlink" Target="&#1605;&#1583;&#1740;&#1585;&#1740;&#1578;%20&#1575;&#1583;&#1593;&#1575;%20&#1608;%20&#1705;&#1604;&#1740;&#1605;\OTHERS\003.OTHERS-%20&#1576;&#1585;&#1606;&#1575;&#1605;&#1607;%20&#1705;&#1575;&#1585;&#1740;%20&#1705;&#1606;&#1578;&#1585;&#1604;%20&#1662;&#1585;&#1608;&#1688;&#1607;" TargetMode="External"/><Relationship Id="rId36" Type="http://schemas.openxmlformats.org/officeDocument/2006/relationships/hyperlink" Target="&#1605;&#1583;&#1740;&#1585;&#1740;&#1578;%20&#1575;&#1583;&#1593;&#1575;%20&#1608;%20&#1705;&#1604;&#1740;&#1605;\Z10-2-&#1575;&#1578;&#1585;&#1740;&#1588;\002.Z10-2%20-%20&#1585;&#1601;&#1593;%20&#1605;&#1593;&#1575;&#1585;&#1590;%20&#1576;&#1585;&#1602;" TargetMode="External"/><Relationship Id="rId49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2.Contract%202nd-%20&#1605;&#1588;&#1575;&#1585;&#1705;&#1578;%20&#1575;&#1576;&#1578;&#1705;&#1575;&#1585;%20&#1608;%20&#1570;&#1583;&#1585;&#1740;&#1606;222" TargetMode="External"/><Relationship Id="rId57" Type="http://schemas.openxmlformats.org/officeDocument/2006/relationships/hyperlink" Target="&#1605;&#1583;&#1740;&#1585;&#1740;&#1578;%20&#1575;&#1583;&#1593;&#1575;%20&#1608;%20&#1705;&#1604;&#1740;&#1605;\OTHERS\007.OTHERS%20-%20&#1591;&#1585;&#1581;%20&#1575;&#1587;&#1578;&#1602;&#1576;&#1575;&#1604;%20&#1575;&#1586;%20&#1605;&#1607;&#1585;" TargetMode="External"/><Relationship Id="rId10" Type="http://schemas.openxmlformats.org/officeDocument/2006/relationships/hyperlink" Target="&#1605;&#1583;&#1740;&#1585;&#1740;&#1578;%20&#1575;&#1583;&#1593;&#1575;%20&#1608;%20&#1705;&#1604;&#1740;&#1605;\TURL10" TargetMode="External"/><Relationship Id="rId31" Type="http://schemas.openxmlformats.org/officeDocument/2006/relationships/hyperlink" Target="&#1605;&#1583;&#1740;&#1585;&#1740;&#1578;%20&#1575;&#1583;&#1593;&#1575;%20&#1608;%20&#1705;&#1604;&#1740;&#1605;\X10-&#1580;&#1606;&#1578;%20&#1570;&#1576;&#1575;&#1583;\005.X10-%20&#1570;&#1604;&#1740;&#1605;&#1575;&#1705;%20&#1575;&#1740;&#1587;&#1578;&#1711;&#1575;&#1607;%20&#1580;&#1606;&#1578;%20&#1570;&#1576;&#1575;&#1583;" TargetMode="External"/><Relationship Id="rId44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1.Contract%202nd-%20&#1593;&#1575;&#1604;&#1740;%20&#1601;&#1604;&#1586;" TargetMode="External"/><Relationship Id="rId52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5.Contract%202nd-%20&#1575;&#1589;&#1594;&#1585;%20&#1606;&#1575;&#1580;&#1740;252" TargetMode="External"/><Relationship Id="rId60" Type="http://schemas.openxmlformats.org/officeDocument/2006/relationships/hyperlink" Target="&#1605;&#1583;&#1740;&#1585;&#1740;&#1578;%20&#1575;&#1583;&#1593;&#1575;%20&#1608;%20&#1705;&#1604;&#1740;&#1605;\OTHERS\010.OTHERS%20&#1711;&#1586;&#1575;&#1585;&#1588;%20&#1578;&#1608;&#1580;&#1740;&#1607;&#1740;%20&#1608;%20&#1583;&#1601;&#1575;&#1593;&#1740;&#1607;%20&#1662;&#1585;&#1583;&#1575;&#1582;&#1578;%20&#1593;&#1605;&#1604;&#1740;&#1575;&#1578;%20&#1582;&#1575;&#1705;&#1740;%20&#1586;&#1740;&#1585;%20&#1578;&#1585;&#1575;&#1586;%20&#1575;&#1587;&#1578;&#1585;&#1575;&#1578;" TargetMode="External"/><Relationship Id="rId4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" TargetMode="External"/><Relationship Id="rId9" Type="http://schemas.openxmlformats.org/officeDocument/2006/relationships/hyperlink" Target="&#1605;&#1583;&#1740;&#1585;&#1740;&#1578;%20&#1575;&#1583;&#1593;&#1575;%20&#1608;%20&#1705;&#1604;&#1740;&#1605;\SA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&#1605;&#1583;&#1740;&#1585;&#1740;&#1578;%20&#1575;&#1583;&#1593;&#1575;%20&#1608;%20&#1705;&#1604;&#1740;&#1605;\TURL10\003.TURL10-&#1581;&#1605;&#1604;%20&#1711;&#1604;" TargetMode="External"/><Relationship Id="rId18" Type="http://schemas.openxmlformats.org/officeDocument/2006/relationships/hyperlink" Target="&#1605;&#1583;&#1740;&#1585;&#1740;&#1578;%20&#1575;&#1583;&#1593;&#1575;%20&#1608;%20&#1705;&#1604;&#1740;&#1605;\Z10-7%201-&#1662;&#1688;&#1608;&#1607;&#1588;\001.Z107%201%20-%20&#1575;&#1590;&#1575;&#1601;&#1607;%20&#1581;&#1601;&#1575;&#1585;&#1740;%20&#1588;&#1605;&#1593;%20&#1607;&#1575;" TargetMode="External"/><Relationship Id="rId26" Type="http://schemas.openxmlformats.org/officeDocument/2006/relationships/hyperlink" Target="&#1605;&#1583;&#1740;&#1585;&#1740;&#1578;%20&#1575;&#1583;&#1593;&#1575;%20&#1608;%20&#1705;&#1604;&#1740;&#1605;\TURL10\009.TURL10-%20&#1578;&#1594;&#1740;&#1740;&#1585;%20&#1605;&#1581;&#1583;&#1608;&#1740;&#1578;%20&#1601;&#1608;&#1575;&#1589;&#1604;%20&#1581;&#1605;&#1604;" TargetMode="External"/><Relationship Id="rId39" Type="http://schemas.openxmlformats.org/officeDocument/2006/relationships/hyperlink" Target="&#1601;&#1575;&#1740;&#1604;&#1607;&#1575;&#1740;%20&#1604;&#1740;&#1606;&#1705;%20&#1588;&#1583;&#1607;\&#1576;&#1606;&#1583;%201-9%20&#1705;&#1604;&#1740;&#1575;&#1578;%20&#1588;&#1585;&#1575;&#1740;&#1591;%20&#1582;&#1589;&#1608;&#1589;&#1740;%20&#1662;&#1740;&#1605;&#1575;&#1606;.pdf" TargetMode="External"/><Relationship Id="rId21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3.Z10%20-%20&#1575;&#1590;&#1575;&#1601;&#1607;%20&#1581;&#1601;&#1575;&#1585;&#1740;%20&#1588;&#1605;&#1593;%20&#1607;&#1575;" TargetMode="External"/><Relationship Id="rId34" Type="http://schemas.openxmlformats.org/officeDocument/2006/relationships/hyperlink" Target="&#1601;&#1575;&#1740;&#1604;&#1607;&#1575;&#1740;%20&#1604;&#1740;&#1606;&#1705;%20&#1588;&#1583;&#1607;\&#1576;&#1740;&#1605;&#1607;" TargetMode="External"/><Relationship Id="rId42" Type="http://schemas.openxmlformats.org/officeDocument/2006/relationships/hyperlink" Target="&#1601;&#1575;&#1740;&#1604;&#1607;&#1575;&#1740;%20&#1604;&#1740;&#1606;&#1705;%20&#1588;&#1583;&#1607;\&#1578;&#1576;&#1589;&#1585;&#1607;%2080%20&#1608;%20&#1593;&#1583;&#1605;%20&#1662;&#1575;&#1587;&#1582;&#1711;&#1608;&#1740;&#1740;%20&#1578;&#1593;&#1583;&#1740;&#1604;" TargetMode="External"/><Relationship Id="rId47" Type="http://schemas.openxmlformats.org/officeDocument/2006/relationships/hyperlink" Target="&#1606;&#1575;&#1605;&#1607;%20&#1607;&#1575;\&#1662;&#1740;%20&#1705;&#1606;&#1740;%20&#1576;&#1607;%20&#1581;&#1601;&#1575;&#1585;&#1740;" TargetMode="External"/><Relationship Id="rId50" Type="http://schemas.openxmlformats.org/officeDocument/2006/relationships/hyperlink" Target="&#1606;&#1575;&#1605;&#1607;%20&#1607;&#1575;\&#1583;&#1585;&#1582;&#1608;&#1575;&#1587;&#1578;%20&#1578;&#1581;&#1608;&#1740;&#1604;%20&#1586;&#1605;&#1740;&#1606;" TargetMode="External"/><Relationship Id="rId7" Type="http://schemas.openxmlformats.org/officeDocument/2006/relationships/hyperlink" Target="&#1605;&#1583;&#1740;&#1585;&#1740;&#1578;%20&#1575;&#1583;&#1593;&#1575;%20&#1608;%20&#1705;&#1604;&#1740;&#1605;\TBM1" TargetMode="External"/><Relationship Id="rId2" Type="http://schemas.openxmlformats.org/officeDocument/2006/relationships/hyperlink" Target="&#1605;&#1583;&#1740;&#1585;&#1740;&#1578;%20&#1575;&#1583;&#1593;&#1575;%20&#1608;%20&#1705;&#1604;&#1740;&#1605;\Z10-2-&#1575;&#1578;&#1585;&#1740;&#1588;" TargetMode="External"/><Relationship Id="rId16" Type="http://schemas.openxmlformats.org/officeDocument/2006/relationships/hyperlink" Target="&#1605;&#1583;&#1740;&#1585;&#1740;&#1578;%20&#1575;&#1583;&#1593;&#1575;%20&#1608;%20&#1705;&#1604;&#1740;&#1605;\X10-&#1580;&#1606;&#1578;%20&#1570;&#1576;&#1575;&#1583;\004.X10-%20&#1576;&#1585;&#1602;%20&#1583;&#1587;&#1578;&#1711;&#1575;&#1607;%20&#1581;&#1601;&#1575;&#1585;%20&#1605;&#1705;&#1575;&#1606;&#1740;&#1586;&#1607;%20&#1583;&#1608;&#1605;" TargetMode="External"/><Relationship Id="rId29" Type="http://schemas.openxmlformats.org/officeDocument/2006/relationships/hyperlink" Target="&#1601;&#1575;&#1740;&#1604;&#1607;&#1575;&#1740;%20&#1604;&#1740;&#1606;&#1705;%20&#1588;&#1583;&#1607;\&#1576;&#1606;&#1583;%2012-12%20&#1608;%2012-11%20&#1705;&#1604;&#1740;&#1575;&#1578;%20&#1588;&#1585;&#1575;&#1740;&#1591;%20&#1582;&#1589;&#1608;&#1589;&#1740;.pdf" TargetMode="External"/><Relationship Id="rId11" Type="http://schemas.openxmlformats.org/officeDocument/2006/relationships/hyperlink" Target="&#1605;&#1583;&#1740;&#1585;&#1740;&#1578;%20&#1575;&#1583;&#1593;&#1575;%20&#1608;%20&#1705;&#1604;&#1740;&#1605;\TURL10\001.TURL10-%20&#1580;&#1585;&#1740;&#1605;&#1607;%20&#1576;&#1740;&#1605;&#1607;" TargetMode="External"/><Relationship Id="rId24" Type="http://schemas.openxmlformats.org/officeDocument/2006/relationships/hyperlink" Target="&#1605;&#1583;&#1740;&#1585;&#1740;&#1578;%20&#1575;&#1583;&#1593;&#1575;%20&#1608;%20&#1705;&#1604;&#1740;&#1605;\TURL10\010.TURL10-%20&#1588;&#1585;&#1575;&#1740;&#1591;%20&#1601;&#1608;&#1585;&#1587;%20&#1605;&#1575;&#1688;&#1608;&#1585;" TargetMode="External"/><Relationship Id="rId32" Type="http://schemas.openxmlformats.org/officeDocument/2006/relationships/hyperlink" Target="&#1601;&#1575;&#1740;&#1604;&#1607;&#1575;&#1740;%20&#1604;&#1740;&#1606;&#1705;%20&#1588;&#1583;&#1607;\&#1576;&#1606;&#1583;%2012-12%20&#1608;%2012-11%20&#1705;&#1604;&#1740;&#1575;&#1578;%20&#1588;&#1585;&#1575;&#1740;&#1591;%20&#1582;&#1589;&#1608;&#1589;&#1740;.pdf" TargetMode="External"/><Relationship Id="rId37" Type="http://schemas.openxmlformats.org/officeDocument/2006/relationships/hyperlink" Target="&#1601;&#1575;&#1740;&#1604;&#1607;&#1575;&#1740;%20&#1604;&#1740;&#1606;&#1705;%20&#1588;&#1583;&#1607;\&#1576;&#1606;&#1583;%2012-12%20&#1608;%2012-11%20&#1705;&#1604;&#1740;&#1575;&#1578;%20&#1588;&#1585;&#1575;&#1740;&#1591;%20&#1582;&#1589;&#1608;&#1589;&#1740;.pdf" TargetMode="External"/><Relationship Id="rId40" Type="http://schemas.openxmlformats.org/officeDocument/2006/relationships/hyperlink" Target="&#1601;&#1575;&#1740;&#1604;&#1607;&#1575;&#1740;%20&#1604;&#1740;&#1606;&#1705;%20&#1588;&#1583;&#1607;\&#1601;&#1608;&#1585;&#1587;%20&#1605;&#1575;&#1688;&#1608;&#1585;" TargetMode="External"/><Relationship Id="rId45" Type="http://schemas.openxmlformats.org/officeDocument/2006/relationships/hyperlink" Target="&#1606;&#1575;&#1605;&#1607;%20&#1607;&#1575;\&#1570;&#1604;&#1740;&#1605;&#1575;&#1705;" TargetMode="External"/><Relationship Id="rId53" Type="http://schemas.openxmlformats.org/officeDocument/2006/relationships/printerSettings" Target="../printerSettings/printerSettings2.bin"/><Relationship Id="rId5" Type="http://schemas.openxmlformats.org/officeDocument/2006/relationships/hyperlink" Target="&#1605;&#1583;&#1740;&#1585;&#1740;&#1578;%20&#1575;&#1583;&#1593;&#1575;%20&#1608;%20&#1705;&#1604;&#1740;&#1605;\V10-&#1587;&#1585;&#1583;&#1575;&#1585;%20&#1580;&#1606;&#1711;&#1604;" TargetMode="External"/><Relationship Id="rId10" Type="http://schemas.openxmlformats.org/officeDocument/2006/relationships/hyperlink" Target="&#1605;&#1583;&#1740;&#1585;&#1740;&#1578;%20&#1575;&#1583;&#1593;&#1575;%20&#1608;%20&#1705;&#1604;&#1740;&#1605;\V10-&#1587;&#1585;&#1583;&#1575;&#1585;%20&#1580;&#1606;&#1711;&#1604;\001.V10-%20&#1580;&#1575;&#1576;&#1580;&#1575;&#1740;&#1740;%20&#1583;&#1608;%20&#1585;&#1588;&#1578;&#1607;%20&#1604;&#1608;&#1604;&#1607;%20&#1570;&#1576;%20(&#1606;&#1607;&#1575;&#1604;%20&#1587;&#1576;&#1586;&#1740;&#1606;&#1607;)" TargetMode="External"/><Relationship Id="rId19" Type="http://schemas.openxmlformats.org/officeDocument/2006/relationships/hyperlink" Target="&#1605;&#1583;&#1740;&#1585;&#1740;&#1578;%20&#1575;&#1583;&#1593;&#1575;%20&#1608;%20&#1705;&#1604;&#1740;&#1605;\Z10-2-&#1575;&#1578;&#1585;&#1740;&#1588;\002.Z10-2%20-%20&#1585;&#1601;&#1593;%20&#1605;&#1593;&#1575;&#1585;&#1590;%20&#1576;&#1585;&#1602;" TargetMode="External"/><Relationship Id="rId31" Type="http://schemas.openxmlformats.org/officeDocument/2006/relationships/hyperlink" Target="&#1601;&#1575;&#1740;&#1604;&#1607;&#1575;&#1740;%20&#1604;&#1740;&#1606;&#1705;%20&#1588;&#1583;&#1607;\&#1578;&#1580;&#1607;&#1740;&#1586;%20&#1581;&#1601;&#1575;&#1585;&#1740;.pdf" TargetMode="External"/><Relationship Id="rId44" Type="http://schemas.openxmlformats.org/officeDocument/2006/relationships/hyperlink" Target="&#1606;&#1575;&#1605;&#1607;%20&#1607;&#1575;\&#1575;&#1587;&#1578;&#1585;&#1575;&#1578;" TargetMode="External"/><Relationship Id="rId52" Type="http://schemas.openxmlformats.org/officeDocument/2006/relationships/hyperlink" Target="&#1606;&#1575;&#1605;&#1607;%20&#1607;&#1575;\&#1588;&#1585;&#1575;&#1740;&#1591;%20&#1601;&#1608;&#1585;&#1587;%20&#1605;&#1575;&#1688;&#1608;&#1585;" TargetMode="External"/><Relationship Id="rId4" Type="http://schemas.openxmlformats.org/officeDocument/2006/relationships/hyperlink" Target="&#1605;&#1583;&#1740;&#1585;&#1740;&#1578;%20&#1575;&#1583;&#1593;&#1575;%20&#1608;%20&#1705;&#1604;&#1740;&#1605;\X10-&#1580;&#1606;&#1578;%20&#1570;&#1576;&#1575;&#1583;" TargetMode="External"/><Relationship Id="rId9" Type="http://schemas.openxmlformats.org/officeDocument/2006/relationships/hyperlink" Target="&#1605;&#1583;&#1740;&#1585;&#1740;&#1578;%20&#1575;&#1583;&#1593;&#1575;%20&#1608;%20&#1705;&#1604;&#1740;&#1605;\X10-&#1580;&#1606;&#1578;%20&#1570;&#1576;&#1575;&#1583;\003.X10-%20&#1607;&#1586;&#1740;&#1606;&#1607;%20&#1607;&#1575;&#1740;%20&#1604;&#1580;&#1587;&#1578;&#1740;&#1705;%20&#1606;&#1589;&#1576;%20&#1575;&#1587;&#1578;&#1585;&#1575;&#1578;" TargetMode="External"/><Relationship Id="rId14" Type="http://schemas.openxmlformats.org/officeDocument/2006/relationships/hyperlink" Target="&#1605;&#1583;&#1740;&#1585;&#1740;&#1578;%20&#1575;&#1583;&#1593;&#1575;%20&#1608;%20&#1705;&#1604;&#1740;&#1605;\TURL10\005.TURL10-%20&#1593;&#1605;&#1604;&#1740;&#1575;&#1578;%20&#1582;&#1575;&#1705;&#1740;%20&#1585;&#1608;&#1576;&#1575;&#1586;%20(&#1662;&#1740;%20&#1705;&#1606;&#1740;)" TargetMode="External"/><Relationship Id="rId22" Type="http://schemas.openxmlformats.org/officeDocument/2006/relationships/hyperlink" Target="&#1605;&#1583;&#1740;&#1585;&#1740;&#1578;%20&#1575;&#1583;&#1593;&#1575;%20&#1608;%20&#1705;&#1604;&#1740;&#1605;\TURL10\007.TURL10-%20&#1586;&#1740;&#1576;&#1575;&#1587;&#1575;&#1586;&#1740;%20&#1583;&#1608;&#1585;&#1607;%20&#1575;&#1740;" TargetMode="External"/><Relationship Id="rId27" Type="http://schemas.openxmlformats.org/officeDocument/2006/relationships/hyperlink" Target="&#1601;&#1575;&#1740;&#1604;&#1607;&#1575;&#1740;%20&#1604;&#1740;&#1606;&#1705;%20&#1588;&#1583;&#1607;\&#1605;&#1575;&#1583;&#1607;%2028%20&#1588;&#1585;&#1575;&#1740;&#1591;%20&#1582;&#1589;&#1608;&#1589;&#1740;%20&#1662;&#1740;&#1605;&#1575;&#1606;.pdf" TargetMode="External"/><Relationship Id="rId30" Type="http://schemas.openxmlformats.org/officeDocument/2006/relationships/hyperlink" Target="&#1601;&#1575;&#1740;&#1604;&#1607;&#1575;&#1740;%20&#1604;&#1740;&#1606;&#1705;%20&#1588;&#1583;&#1607;\&#1576;&#1606;&#1583;%2012-12%20&#1608;%2012-11%20&#1705;&#1604;&#1740;&#1575;&#1578;%20&#1588;&#1585;&#1575;&#1740;&#1591;%20&#1582;&#1589;&#1608;&#1589;&#1740;.pdf" TargetMode="External"/><Relationship Id="rId35" Type="http://schemas.openxmlformats.org/officeDocument/2006/relationships/hyperlink" Target="&#1601;&#1575;&#1740;&#1604;&#1607;&#1575;&#1740;%20&#1604;&#1740;&#1606;&#1705;%20&#1588;&#1583;&#1607;\&#1581;&#1601;&#1575;&#1585;&#1740;%20&#1608;%20&#1662;&#1740;%20&#1705;&#1606;&#1740;" TargetMode="External"/><Relationship Id="rId43" Type="http://schemas.openxmlformats.org/officeDocument/2006/relationships/hyperlink" Target="&#1606;&#1575;&#1605;&#1607;%20&#1607;&#1575;\&#1604;&#1580;&#1587;&#1578;&#1740;&#1705;" TargetMode="External"/><Relationship Id="rId48" Type="http://schemas.openxmlformats.org/officeDocument/2006/relationships/hyperlink" Target="&#1606;&#1575;&#1605;&#1607;%20&#1607;&#1575;\&#1581;&#1605;&#1604;%20&#1711;&#1604;" TargetMode="External"/><Relationship Id="rId8" Type="http://schemas.openxmlformats.org/officeDocument/2006/relationships/hyperlink" Target="&#1605;&#1583;&#1740;&#1585;&#1740;&#1578;%20&#1575;&#1583;&#1593;&#1575;%20&#1608;%20&#1705;&#1604;&#1740;&#1605;\X10-&#1580;&#1606;&#1578;%20&#1570;&#1576;&#1575;&#1583;\002.X10-%20&#1607;&#1586;&#1740;&#1606;&#1607;%20&#1607;&#1575;&#1740;%20&#1604;&#1580;&#1587;&#1578;&#1740;&#1705;%20&#1575;&#1608;&#1585;&#1607;&#1575;&#1604;%20&#1583;&#1587;&#1578;&#1711;&#1575;&#1607;%20&#1581;&#1601;&#1575;&#1585;%20&#1583;&#1608;&#1605;" TargetMode="External"/><Relationship Id="rId51" Type="http://schemas.openxmlformats.org/officeDocument/2006/relationships/hyperlink" Target="&#1606;&#1575;&#1605;&#1607;%20&#1607;&#1575;\&#1578;&#1594;&#1740;&#1740;&#1585;%20&#1605;&#1581;&#1583;&#1608;&#1583;&#1740;&#1578;%20&#1601;&#1608;&#1575;&#1589;&#1604;%20&#1581;&#1605;&#1604;" TargetMode="External"/><Relationship Id="rId3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" TargetMode="External"/><Relationship Id="rId12" Type="http://schemas.openxmlformats.org/officeDocument/2006/relationships/hyperlink" Target="&#1605;&#1583;&#1740;&#1585;&#1740;&#1578;%20&#1575;&#1583;&#1593;&#1575;%20&#1608;%20&#1705;&#1604;&#1740;&#1605;\TURL10\002.TURL10-%20&#1593;&#1605;&#1604;&#1740;&#1575;&#1578;%20&#1582;&#1575;&#1705;&#1740;%20&#1575;&#1740;&#1587;&#1578;&#1711;&#1575;&#1607;%20&#1585;&#1608;&#1576;&#1575;&#1586;(&#1581;&#1601;&#1575;&#1585;&#1740;)" TargetMode="External"/><Relationship Id="rId17" Type="http://schemas.openxmlformats.org/officeDocument/2006/relationships/hyperlink" Target="&#1605;&#1583;&#1740;&#1585;&#1740;&#1578;%20&#1575;&#1583;&#1593;&#1575;%20&#1608;%20&#1705;&#1604;&#1740;&#1605;\X10-&#1580;&#1606;&#1578;%20&#1570;&#1576;&#1575;&#1583;\005.X10-%20&#1570;&#1604;&#1740;&#1605;&#1575;&#1705;%20&#1575;&#1740;&#1587;&#1578;&#1711;&#1575;&#1607;%20&#1580;&#1606;&#1578;%20&#1570;&#1576;&#1575;&#1583;" TargetMode="External"/><Relationship Id="rId25" Type="http://schemas.openxmlformats.org/officeDocument/2006/relationships/hyperlink" Target="&#1605;&#1583;&#1740;&#1585;&#1740;&#1578;%20&#1575;&#1583;&#1593;&#1575;%20&#1608;%20&#1705;&#1604;&#1740;&#1605;\X10-&#1580;&#1606;&#1578;%20&#1570;&#1576;&#1575;&#1583;\006.X10-%20&#1601;&#1593;&#1575;&#1604;&#1740;&#1578;%20&#1575;&#1740;&#1587;&#1578;&#1711;&#1575;&#1607;%20&#1580;&#1606;&#1578;%20&#1570;&#1576;&#1575;&#1583;" TargetMode="External"/><Relationship Id="rId33" Type="http://schemas.openxmlformats.org/officeDocument/2006/relationships/hyperlink" Target="&#1601;&#1575;&#1740;&#1604;&#1607;&#1575;&#1740;%20&#1604;&#1740;&#1606;&#1705;%20&#1588;&#1583;&#1607;\&#1605;&#1575;&#1583;&#1607;%2028%20&#1588;&#1585;&#1575;&#1740;&#1591;%20&#1582;&#1589;&#1608;&#1589;&#1740;%20&#1662;&#1740;&#1605;&#1575;&#1606;.pdf" TargetMode="External"/><Relationship Id="rId38" Type="http://schemas.openxmlformats.org/officeDocument/2006/relationships/hyperlink" Target="&#1601;&#1575;&#1740;&#1604;&#1607;&#1575;&#1740;%20&#1604;&#1740;&#1606;&#1705;%20&#1588;&#1583;&#1607;\&#1605;&#1575;&#1583;&#1607;%2028%20&#1588;&#1585;&#1575;&#1740;&#1591;%20&#1593;&#1605;&#1608;&#1605;&#1740;%20&#1662;&#1740;&#1605;&#1575;&#1606;.pdf" TargetMode="External"/><Relationship Id="rId46" Type="http://schemas.openxmlformats.org/officeDocument/2006/relationships/hyperlink" Target="&#1606;&#1575;&#1605;&#1607;%20&#1607;&#1575;\&#1576;&#1740;&#1605;&#1607;" TargetMode="External"/><Relationship Id="rId20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2.Z10%20-%20&#1605;&#1593;&#1575;&#1585;&#1590;%20&#1576;&#1585;&#1602;" TargetMode="External"/><Relationship Id="rId41" Type="http://schemas.openxmlformats.org/officeDocument/2006/relationships/hyperlink" Target="&#1601;&#1575;&#1740;&#1604;&#1607;&#1575;&#1740;%20&#1604;&#1740;&#1606;&#1705;%20&#1588;&#1583;&#1607;\&#1605;&#1575;&#1583;&#1607;%2049%20&#1588;&#1585;&#1575;&#1740;&#1591;%20&#1593;&#1605;&#1608;&#1605;&#1740;%20&#1662;&#1740;&#1605;&#1575;&#1606;.pdf" TargetMode="External"/><Relationship Id="rId1" Type="http://schemas.openxmlformats.org/officeDocument/2006/relationships/hyperlink" Target="&#1605;&#1583;&#1740;&#1585;&#1740;&#1578;%20&#1575;&#1583;&#1593;&#1575;%20&#1608;%20&#1705;&#1604;&#1740;&#1605;\Z10-7%201-&#1662;&#1688;&#1608;&#1607;&#1588;" TargetMode="External"/><Relationship Id="rId6" Type="http://schemas.openxmlformats.org/officeDocument/2006/relationships/hyperlink" Target="&#1605;&#1583;&#1740;&#1585;&#1740;&#1578;%20&#1575;&#1583;&#1593;&#1575;%20&#1608;%20&#1705;&#1604;&#1740;&#1605;\TURL10" TargetMode="External"/><Relationship Id="rId15" Type="http://schemas.openxmlformats.org/officeDocument/2006/relationships/hyperlink" Target="&#1605;&#1583;&#1740;&#1585;&#1740;&#1578;%20&#1575;&#1583;&#1593;&#1575;%20&#1608;%20&#1705;&#1604;&#1740;&#1605;\TBM1\001.TBM1-%20&#1578;&#1608;&#1602;&#1601;%20&#1570;&#1740;&#1585;&#1575;&#1606;&#1575;" TargetMode="External"/><Relationship Id="rId23" Type="http://schemas.openxmlformats.org/officeDocument/2006/relationships/hyperlink" Target="&#1605;&#1583;&#1740;&#1585;&#1740;&#1578;%20&#1575;&#1583;&#1593;&#1575;%20&#1608;%20&#1705;&#1604;&#1740;&#1605;\TURL10\008.TURL10-%20&#1578;&#1575;&#1582;&#1740;&#1585;%20&#1583;&#1585;%20&#1578;&#1581;&#1608;&#1740;&#1604;%20&#1705;&#1575;&#1585;&#1711;&#1575;&#1607;" TargetMode="External"/><Relationship Id="rId28" Type="http://schemas.openxmlformats.org/officeDocument/2006/relationships/hyperlink" Target="&#1601;&#1575;&#1740;&#1604;&#1607;&#1575;&#1740;%20&#1604;&#1740;&#1606;&#1705;%20&#1588;&#1583;&#1607;\&#1605;&#1575;&#1583;&#1607;%2028%20&#1588;&#1585;&#1575;&#1740;&#1591;%20&#1582;&#1589;&#1608;&#1589;&#1740;%20&#1662;&#1740;&#1605;&#1575;&#1606;.pdf" TargetMode="External"/><Relationship Id="rId36" Type="http://schemas.openxmlformats.org/officeDocument/2006/relationships/hyperlink" Target="&#1601;&#1575;&#1740;&#1604;&#1607;&#1575;&#1740;%20&#1604;&#1740;&#1606;&#1705;%20&#1588;&#1583;&#1607;\&#1576;&#1585;&#1711;&#1607;%20&#1605;&#1575;&#1604;&#1740;%20&#1581;&#1605;&#1604;%20&#1711;&#1604;.pdf" TargetMode="External"/><Relationship Id="rId49" Type="http://schemas.openxmlformats.org/officeDocument/2006/relationships/hyperlink" Target="&#1606;&#1575;&#1605;&#1607;%20&#1607;&#1575;\&#1586;&#1740;&#1576;&#1575;%20&#1587;&#1575;&#1586;&#1740;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&#1605;&#1583;&#1740;&#1585;&#1740;&#1578;%20&#1575;&#1583;&#1593;&#1575;%20&#1608;%20&#1705;&#1604;&#1740;&#1605;\X10-&#1580;&#1606;&#1578;%20&#1570;&#1576;&#1575;&#1583;\001.X10-%20&#1711;&#1575;&#1604;&#1585;&#1740;%20&#1606;&#1608;&#1575;&#1585;%20&#1606;&#1602;&#1575;&#1604;&#1607;" TargetMode="External"/><Relationship Id="rId18" Type="http://schemas.openxmlformats.org/officeDocument/2006/relationships/hyperlink" Target="&#1605;&#1583;&#1740;&#1585;&#1740;&#1578;%20&#1575;&#1583;&#1593;&#1575;%20&#1608;%20&#1705;&#1604;&#1740;&#1605;\TURL10\001.TURL10-%20&#1580;&#1585;&#1740;&#1605;&#1607;%20&#1576;&#1740;&#1605;&#1607;" TargetMode="External"/><Relationship Id="rId26" Type="http://schemas.openxmlformats.org/officeDocument/2006/relationships/hyperlink" Target="&#1605;&#1583;&#1740;&#1585;&#1740;&#1578;%20&#1575;&#1583;&#1593;&#1575;%20&#1608;%20&#1705;&#1604;&#1740;&#1605;\TBM1\003.TBM1-%20&#1578;&#1586;&#1585;&#1740;&#1602;%20&#1711;&#1585;&#1608;&#1578;%20&#1662;&#1588;&#1578;%20&#1587;&#1711;&#1605;&#1606;&#1578;" TargetMode="External"/><Relationship Id="rId39" Type="http://schemas.openxmlformats.org/officeDocument/2006/relationships/hyperlink" Target="&#1605;&#1583;&#1740;&#1585;&#1740;&#1578;%20&#1575;&#1583;&#1593;&#1575;%20&#1608;%20&#1705;&#1604;&#1740;&#1605;\Z10-2-&#1575;&#1578;&#1585;&#1740;&#1588;\003.Z10-2%20-%20&#1593;&#1583;&#1605;%20&#1578;&#1582;&#1589;&#1740;&#1589;%20&#1576;&#1585;&#1602;%20&#1576;&#1607;%20&#1705;&#1575;&#1585;&#1711;&#1575;&#1607;" TargetMode="External"/><Relationship Id="rId21" Type="http://schemas.openxmlformats.org/officeDocument/2006/relationships/hyperlink" Target="&#1605;&#1583;&#1740;&#1585;&#1740;&#1578;%20&#1575;&#1583;&#1593;&#1575;%20&#1608;%20&#1705;&#1604;&#1740;&#1605;\TURL10\004.TURL10-&#1607;&#1586;&#1740;&#1606;&#1607;%20&#1607;&#1575;&#1740;%20&#1591;&#1585;&#1575;&#1581;&#1740;" TargetMode="External"/><Relationship Id="rId34" Type="http://schemas.openxmlformats.org/officeDocument/2006/relationships/hyperlink" Target="&#1605;&#1583;&#1740;&#1585;&#1740;&#1578;%20&#1575;&#1583;&#1593;&#1575;%20&#1608;%20&#1705;&#1604;&#1740;&#1605;\TBM1\004.TBM1-%20&#1607;&#1586;&#1740;&#1606;&#1607;%20&#1583;&#1585;&#1570;&#1605;&#1583;%20&#1581;&#1601;&#1575;&#1585;&#1740;" TargetMode="External"/><Relationship Id="rId42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3.Z10%20-%20&#1575;&#1590;&#1575;&#1601;&#1607;%20&#1581;&#1601;&#1575;&#1585;&#1740;%20&#1588;&#1605;&#1593;%20&#1607;&#1575;" TargetMode="External"/><Relationship Id="rId47" Type="http://schemas.openxmlformats.org/officeDocument/2006/relationships/hyperlink" Target="&#1605;&#1583;&#1740;&#1585;&#1740;&#1578;%20&#1575;&#1583;&#1593;&#1575;%20&#1608;%20&#1705;&#1604;&#1740;&#1605;\TURL10\007.TURL10-%20&#1586;&#1740;&#1576;&#1575;&#1587;&#1575;&#1586;&#1740;%20&#1583;&#1608;&#1585;&#1607;%20&#1575;&#1740;" TargetMode="External"/><Relationship Id="rId50" Type="http://schemas.openxmlformats.org/officeDocument/2006/relationships/hyperlink" Target="&#1605;&#1583;&#1740;&#1585;&#1740;&#1578;%20&#1575;&#1583;&#1593;&#1575;%20&#1608;%20&#1705;&#1604;&#1740;&#1605;\OTHERS\005.OTHERS-%20&#1602;&#1591;&#1593;&#1740;%20&#1576;&#1585;&#1602;%20&#1608;%20&#1570;&#1604;&#1608;&#1583;&#1711;&#1740;%20&#1607;&#1608;&#1575;" TargetMode="External"/><Relationship Id="rId55" Type="http://schemas.openxmlformats.org/officeDocument/2006/relationships/hyperlink" Target="&#1605;&#1583;&#1740;&#1585;&#1740;&#1578;%20&#1575;&#1583;&#1593;&#1575;%20&#1608;%20&#1705;&#1604;&#1740;&#1605;\Z10-5-&#1583;&#1585;&#1740;&#1575;&#1670;&#1607;\001.Z10-5%20-%20&#1578;&#1580;&#1607;&#1740;&#1586;%20&#1705;&#1575;&#1585;&#1711;&#1575;&#1607;%20&#1605;&#1575;&#1586;&#1575;&#1583;" TargetMode="External"/><Relationship Id="rId7" Type="http://schemas.openxmlformats.org/officeDocument/2006/relationships/hyperlink" Target="&#1605;&#1583;&#1740;&#1585;&#1740;&#1578;%20&#1575;&#1583;&#1593;&#1575;%20&#1608;%20&#1705;&#1604;&#1740;&#1605;\V10-&#1587;&#1585;&#1583;&#1575;&#1585;%20&#1580;&#1606;&#1711;&#1604;" TargetMode="External"/><Relationship Id="rId2" Type="http://schemas.openxmlformats.org/officeDocument/2006/relationships/hyperlink" Target="&#1605;&#1583;&#1740;&#1585;&#1740;&#1578;%20&#1575;&#1583;&#1593;&#1575;%20&#1608;%20&#1705;&#1604;&#1740;&#1605;\Z10-7%201-&#1662;&#1688;&#1608;&#1607;&#1588;" TargetMode="External"/><Relationship Id="rId16" Type="http://schemas.openxmlformats.org/officeDocument/2006/relationships/hyperlink" Target="&#1605;&#1583;&#1740;&#1585;&#1740;&#1578;%20&#1575;&#1583;&#1593;&#1575;%20&#1608;%20&#1705;&#1604;&#1740;&#1605;\V10-&#1587;&#1585;&#1583;&#1575;&#1585;%20&#1580;&#1606;&#1711;&#1604;\001.V10-%20&#1580;&#1575;&#1576;&#1580;&#1575;&#1740;&#1740;%20&#1583;&#1608;%20&#1585;&#1588;&#1578;&#1607;%20&#1604;&#1608;&#1604;&#1607;%20&#1570;&#1576;%20(&#1606;&#1607;&#1575;&#1604;%20&#1587;&#1576;&#1586;&#1740;&#1606;&#1607;)" TargetMode="External"/><Relationship Id="rId29" Type="http://schemas.openxmlformats.org/officeDocument/2006/relationships/hyperlink" Target="&#1605;&#1583;&#1740;&#1585;&#1740;&#1578;%20&#1575;&#1583;&#1593;&#1575;%20&#1608;%20&#1705;&#1604;&#1740;&#1605;\OTHERS\003.OTHERS-%20&#1576;&#1585;&#1606;&#1575;&#1605;&#1607;%20&#1705;&#1575;&#1585;&#1740;%20&#1705;&#1606;&#1578;&#1585;&#1604;%20&#1662;&#1585;&#1608;&#1688;&#1607;" TargetMode="External"/><Relationship Id="rId11" Type="http://schemas.openxmlformats.org/officeDocument/2006/relationships/hyperlink" Target="&#1605;&#1583;&#1740;&#1585;&#1740;&#1578;%20&#1575;&#1583;&#1593;&#1575;%20&#1608;%20&#1705;&#1604;&#1740;&#1605;\TBM1" TargetMode="External"/><Relationship Id="rId24" Type="http://schemas.openxmlformats.org/officeDocument/2006/relationships/hyperlink" Target="&#1605;&#1583;&#1740;&#1585;&#1740;&#1578;%20&#1575;&#1583;&#1593;&#1575;%20&#1608;%20&#1705;&#1604;&#1740;&#1605;\TBM1\001.TBM1-%20&#1578;&#1608;&#1602;&#1601;%20&#1570;&#1740;&#1585;&#1575;&#1606;&#1575;" TargetMode="External"/><Relationship Id="rId32" Type="http://schemas.openxmlformats.org/officeDocument/2006/relationships/hyperlink" Target="&#1605;&#1583;&#1740;&#1585;&#1740;&#1578;%20&#1575;&#1583;&#1593;&#1575;%20&#1608;%20&#1705;&#1604;&#1740;&#1605;\X10-&#1580;&#1606;&#1578;%20&#1570;&#1576;&#1575;&#1583;\005.X10-%20&#1570;&#1604;&#1740;&#1605;&#1575;&#1705;%20&#1575;&#1740;&#1587;&#1578;&#1711;&#1575;&#1607;%20&#1580;&#1606;&#1578;%20&#1570;&#1576;&#1575;&#1583;" TargetMode="External"/><Relationship Id="rId37" Type="http://schemas.openxmlformats.org/officeDocument/2006/relationships/hyperlink" Target="&#1605;&#1583;&#1740;&#1585;&#1740;&#1578;%20&#1575;&#1583;&#1593;&#1575;%20&#1608;%20&#1705;&#1604;&#1740;&#1605;\Z10-2-&#1575;&#1578;&#1585;&#1740;&#1588;\001.Z10-2%20-%20&#1607;&#1586;&#1740;&#1606;&#1607;%20&#1607;&#1575;&#1740;%20&#1580;&#1605;&#1593;%20&#1705;&#1585;&#1583;&#1606;%20&#1581;&#1589;&#1575;&#1585;" TargetMode="External"/><Relationship Id="rId40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1.Z10%20-%20&#1581;&#1589;&#1575;&#1585;%20&#1705;&#1588;&#1740;%20&#1605;&#1580;&#1583;&#1583;" TargetMode="External"/><Relationship Id="rId45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6.Z10%20-%20&#1578;&#1594;&#1740;&#1740;&#1585;%20&#1585;&#1608;&#1576;&#1575;&#1586;%20&#1576;&#1607;%20&#1586;&#1740;&#1585;&#1586;&#1605;&#1740;&#1606;&#1740;%20&#1608;%20&#1585;&#1608;&#1576;&#1575;&#1586;" TargetMode="External"/><Relationship Id="rId53" Type="http://schemas.openxmlformats.org/officeDocument/2006/relationships/hyperlink" Target="&#1605;&#1583;&#1740;&#1585;&#1740;&#1578;%20&#1575;&#1583;&#1593;&#1575;%20&#1608;%20&#1705;&#1604;&#1740;&#1605;\OTHERS\007.OTHERS-%20&#1588;&#1585;&#1705;&#1578;%20&#1576;&#1604;&#1606;&#1583;%20&#1662;&#1575;&#1740;&#1607;%20&#1587;&#1575;&#1586;&#1575;&#1606;%20&#1585;&#1575;&#1576;&#1740;&#1606;" TargetMode="External"/><Relationship Id="rId58" Type="http://schemas.openxmlformats.org/officeDocument/2006/relationships/hyperlink" Target="&#1605;&#1583;&#1740;&#1585;&#1740;&#1578;%20&#1575;&#1583;&#1593;&#1575;%20&#1608;%20&#1705;&#1604;&#1740;&#1605;\OTHERS\010.OTHERS-%20&#1601;&#1585;&#1582;&#1740;%20&#1608;%20&#1593;&#1608;&#1606;&#1740;" TargetMode="External"/><Relationship Id="rId5" Type="http://schemas.openxmlformats.org/officeDocument/2006/relationships/hyperlink" Target="&#1605;&#1583;&#1740;&#1585;&#1740;&#1578;%20&#1575;&#1583;&#1593;&#1575;%20&#1608;%20&#1705;&#1604;&#1740;&#1605;\X10-&#1580;&#1606;&#1578;%20&#1570;&#1576;&#1575;&#1583;" TargetMode="External"/><Relationship Id="rId19" Type="http://schemas.openxmlformats.org/officeDocument/2006/relationships/hyperlink" Target="&#1605;&#1583;&#1740;&#1585;&#1740;&#1578;%20&#1575;&#1583;&#1593;&#1575;%20&#1608;%20&#1705;&#1604;&#1740;&#1605;\TURL10\002.TURL10-%20&#1593;&#1605;&#1604;&#1740;&#1575;&#1578;%20&#1582;&#1575;&#1705;&#1740;%20&#1575;&#1740;&#1587;&#1578;&#1711;&#1575;&#1607;%20&#1585;&#1608;&#1576;&#1575;&#1586;(&#1581;&#1601;&#1575;&#1585;&#1740;)" TargetMode="External"/><Relationship Id="rId4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" TargetMode="External"/><Relationship Id="rId9" Type="http://schemas.openxmlformats.org/officeDocument/2006/relationships/hyperlink" Target="&#1605;&#1583;&#1740;&#1585;&#1740;&#1578;%20&#1575;&#1583;&#1593;&#1575;%20&#1608;%20&#1705;&#1604;&#1740;&#1605;\SA" TargetMode="External"/><Relationship Id="rId14" Type="http://schemas.openxmlformats.org/officeDocument/2006/relationships/hyperlink" Target="&#1605;&#1583;&#1740;&#1585;&#1740;&#1578;%20&#1575;&#1583;&#1593;&#1575;%20&#1608;%20&#1705;&#1604;&#1740;&#1605;\X10-&#1580;&#1606;&#1578;%20&#1570;&#1576;&#1575;&#1583;\002.X10-%20&#1607;&#1586;&#1740;&#1606;&#1607;%20&#1607;&#1575;&#1740;%20&#1604;&#1580;&#1587;&#1578;&#1740;&#1705;%20&#1575;&#1608;&#1585;&#1607;&#1575;&#1604;%20&#1583;&#1587;&#1578;&#1711;&#1575;&#1607;%20&#1581;&#1601;&#1575;&#1585;%20&#1583;&#1608;&#1605;" TargetMode="External"/><Relationship Id="rId22" Type="http://schemas.openxmlformats.org/officeDocument/2006/relationships/hyperlink" Target="&#1605;&#1583;&#1740;&#1585;&#1740;&#1578;%20&#1575;&#1583;&#1593;&#1575;%20&#1608;%20&#1705;&#1604;&#1740;&#1605;\TURL10\005.TURL10-%20&#1593;&#1605;&#1604;&#1740;&#1575;&#1578;%20&#1582;&#1575;&#1705;&#1740;%20&#1585;&#1608;&#1576;&#1575;&#1586;%20(&#1662;&#1740;%20&#1705;&#1606;&#1740;)" TargetMode="External"/><Relationship Id="rId27" Type="http://schemas.openxmlformats.org/officeDocument/2006/relationships/hyperlink" Target="&#1605;&#1583;&#1740;&#1585;&#1740;&#1578;%20&#1575;&#1583;&#1593;&#1575;%20&#1608;%20&#1705;&#1604;&#1740;&#1605;\OTHERS\001.OTHER-%20&#1578;&#1575;&#1582;&#1740;&#1585;&#1575;&#1578;" TargetMode="External"/><Relationship Id="rId30" Type="http://schemas.openxmlformats.org/officeDocument/2006/relationships/hyperlink" Target="&#1605;&#1583;&#1740;&#1585;&#1740;&#1578;%20&#1575;&#1583;&#1593;&#1575;%20&#1608;%20&#1705;&#1604;&#1740;&#1605;\OTHERS\004.OTHER-%20&#1606;&#1575;&#1605;&#1607;%20&#1601;&#1585;&#1605;&#1578;%20&#1582;&#1583;&#1605;&#1575;&#1578;%20&#1576;&#1607;%20&#1602;&#1585;&#1575;&#1585;&#1583;&#1575;&#1583;&#1607;&#1575;" TargetMode="External"/><Relationship Id="rId35" Type="http://schemas.openxmlformats.org/officeDocument/2006/relationships/hyperlink" Target="&#1605;&#1583;&#1740;&#1585;&#1740;&#1578;%20&#1575;&#1583;&#1593;&#1575;%20&#1608;%20&#1705;&#1604;&#1740;&#1605;\Z10-7%201-&#1662;&#1688;&#1608;&#1607;&#1588;\001.Z107%201%20-%20&#1575;&#1590;&#1575;&#1601;&#1607;%20&#1581;&#1601;&#1575;&#1585;&#1740;%20&#1588;&#1605;&#1593;%20&#1607;&#1575;" TargetMode="External"/><Relationship Id="rId43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4.Z10%20-%20&#1575;&#1590;&#1575;&#1601;&#1607;%20&#1576;&#1578;&#1606;%20&#1588;&#1605;&#1593;%20&#1607;&#1575;" TargetMode="External"/><Relationship Id="rId48" Type="http://schemas.openxmlformats.org/officeDocument/2006/relationships/hyperlink" Target="&#1605;&#1583;&#1740;&#1585;&#1740;&#1578;%20&#1575;&#1583;&#1593;&#1575;%20&#1608;%20&#1705;&#1604;&#1740;&#1605;\TURL10\008.TURL10-%20&#1578;&#1575;&#1582;&#1740;&#1585;%20&#1583;&#1585;%20&#1578;&#1581;&#1608;&#1740;&#1604;%20&#1705;&#1575;&#1585;&#1711;&#1575;&#1607;%20&#1608;%20&#1583;&#1585;&#1582;&#1608;&#1575;&#1587;&#1578;%20&#1578;&#1593;&#1604;&#1740;&#1602;" TargetMode="External"/><Relationship Id="rId56" Type="http://schemas.openxmlformats.org/officeDocument/2006/relationships/hyperlink" Target="&#1605;&#1583;&#1740;&#1585;&#1740;&#1578;%20&#1575;&#1583;&#1593;&#1575;%20&#1608;%20&#1705;&#1604;&#1740;&#1605;\TURL10\010.TURL10-%20&#1588;&#1585;&#1575;&#1740;&#1591;%20&#1601;&#1608;&#1585;&#1587;%20&#1605;&#1575;&#1688;&#1608;&#1585;" TargetMode="External"/><Relationship Id="rId8" Type="http://schemas.openxmlformats.org/officeDocument/2006/relationships/hyperlink" Target="&#1605;&#1583;&#1740;&#1585;&#1740;&#1578;%20&#1575;&#1583;&#1593;&#1575;%20&#1608;%20&#1705;&#1604;&#1740;&#1605;\Z10-9-&#1608;&#1585;&#1583;&#1570;&#1608;&#1585;&#1583;" TargetMode="External"/><Relationship Id="rId51" Type="http://schemas.openxmlformats.org/officeDocument/2006/relationships/hyperlink" Target="&#1605;&#1583;&#1740;&#1585;&#1740;&#1578;%20&#1575;&#1583;&#1593;&#1575;%20&#1608;%20&#1705;&#1604;&#1740;&#1605;\TBM1\005.TBM1-%20&#1576;&#1583;&#1587;&#1578;%20&#1570;&#1608;&#1585;&#1583;&#1606;%20&#1581;&#1580;&#1605;%20&#1583;&#1602;&#1740;&#1602;%20&#1581;&#1601;&#1575;&#1585;&#1740;" TargetMode="External"/><Relationship Id="rId3" Type="http://schemas.openxmlformats.org/officeDocument/2006/relationships/hyperlink" Target="&#1605;&#1583;&#1740;&#1585;&#1740;&#1578;%20&#1575;&#1583;&#1593;&#1575;%20&#1608;%20&#1705;&#1604;&#1740;&#1605;\Z10-2-&#1575;&#1578;&#1585;&#1740;&#1588;" TargetMode="External"/><Relationship Id="rId12" Type="http://schemas.openxmlformats.org/officeDocument/2006/relationships/hyperlink" Target="&#1605;&#1583;&#1740;&#1585;&#1740;&#1578;%20&#1575;&#1583;&#1593;&#1575;%20&#1608;%20&#1705;&#1604;&#1740;&#1605;\OTHERS" TargetMode="External"/><Relationship Id="rId17" Type="http://schemas.openxmlformats.org/officeDocument/2006/relationships/hyperlink" Target="&#1605;&#1583;&#1740;&#1585;&#1740;&#1578;%20&#1575;&#1583;&#1593;&#1575;%20&#1608;%20&#1705;&#1604;&#1740;&#1605;\Z10-9-&#1608;&#1585;&#1583;&#1570;&#1608;&#1585;&#1583;\001.Z10-9-%20&#1607;&#1586;&#1740;&#1606;&#1607;%20&#1593;&#1583;&#1605;%20&#1585;&#1601;&#1593;%20&#1605;&#1593;&#1575;&#1585;&#1590;" TargetMode="External"/><Relationship Id="rId25" Type="http://schemas.openxmlformats.org/officeDocument/2006/relationships/hyperlink" Target="&#1605;&#1583;&#1740;&#1585;&#1740;&#1578;%20&#1575;&#1583;&#1593;&#1575;%20&#1608;%20&#1705;&#1604;&#1740;&#1605;\TBM1\002.TBM1-%20&#1580;&#1608;&#1586;&#1575;&#1606;&#1740;%20&#1588;&#1585;&#1602;&#1740;" TargetMode="External"/><Relationship Id="rId33" Type="http://schemas.openxmlformats.org/officeDocument/2006/relationships/hyperlink" Target="&#1605;&#1583;&#1740;&#1585;&#1740;&#1578;%20&#1575;&#1583;&#1593;&#1575;%20&#1608;%20&#1705;&#1604;&#1740;&#1605;\X10-&#1580;&#1606;&#1578;%20&#1570;&#1576;&#1575;&#1583;\006.X10-%20&#1601;&#1593;&#1575;&#1604;&#1740;&#1578;%20&#1575;&#1740;&#1587;&#1578;&#1711;&#1575;&#1607;%20&#1580;&#1606;&#1578;%20&#1570;&#1576;&#1575;&#1583;" TargetMode="External"/><Relationship Id="rId38" Type="http://schemas.openxmlformats.org/officeDocument/2006/relationships/hyperlink" Target="&#1605;&#1583;&#1740;&#1585;&#1740;&#1578;%20&#1575;&#1583;&#1593;&#1575;%20&#1608;%20&#1705;&#1604;&#1740;&#1605;\Z10-2-&#1575;&#1578;&#1585;&#1740;&#1588;\002.Z10-2%20-%20&#1585;&#1601;&#1593;%20&#1605;&#1593;&#1575;&#1585;&#1590;%20&#1576;&#1585;&#1602;" TargetMode="External"/><Relationship Id="rId46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7.Z10%20-%20&#1593;&#1583;&#1605;%20&#1578;&#1582;&#1589;&#1740;&#1589;%20&#1576;&#1585;&#1602;%20&#1576;&#1607;%20&#1705;&#1575;&#1585;&#1711;&#1575;&#1607;" TargetMode="External"/><Relationship Id="rId59" Type="http://schemas.openxmlformats.org/officeDocument/2006/relationships/hyperlink" Target="&#1605;&#1583;&#1740;&#1585;&#1740;&#1578;%20&#1575;&#1583;&#1593;&#1575;%20&#1608;%20&#1705;&#1604;&#1740;&#1605;\X10-&#1580;&#1606;&#1578;%20&#1570;&#1576;&#1575;&#1583;\006.X10-%20&#1601;&#1593;&#1575;&#1604;&#1740;&#1578;%20&#1575;&#1740;&#1587;&#1578;&#1711;&#1575;&#1607;%20&#1580;&#1606;&#1578;%20&#1570;&#1576;&#1575;&#1583;" TargetMode="External"/><Relationship Id="rId20" Type="http://schemas.openxmlformats.org/officeDocument/2006/relationships/hyperlink" Target="&#1605;&#1583;&#1740;&#1585;&#1740;&#1578;%20&#1575;&#1583;&#1593;&#1575;%20&#1608;%20&#1705;&#1604;&#1740;&#1605;\TURL10\003.TURL10-&#1581;&#1605;&#1604;%20&#1711;&#1604;" TargetMode="External"/><Relationship Id="rId41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2.Z10%20-%20&#1605;&#1593;&#1575;&#1585;&#1590;%20&#1576;&#1585;&#1602;" TargetMode="External"/><Relationship Id="rId54" Type="http://schemas.openxmlformats.org/officeDocument/2006/relationships/hyperlink" Target="&#1605;&#1583;&#1740;&#1585;&#1740;&#1578;%20&#1575;&#1583;&#1593;&#1575;%20&#1608;%20&#1705;&#1604;&#1740;&#1605;\OTHERS\008.OTHERS-%20&#1576;&#1740;&#1605;&#1607;%20&#1578;&#1605;&#1575;&#1605;%20&#1582;&#1591;&#1585;%201405" TargetMode="External"/><Relationship Id="rId1" Type="http://schemas.openxmlformats.org/officeDocument/2006/relationships/hyperlink" Target="&#1605;&#1583;&#1740;&#1585;&#1740;&#1578;%20&#1575;&#1583;&#1593;&#1575;%20&#1608;%20&#1705;&#1604;&#1740;&#1605;\Z10-5-&#1583;&#1585;&#1740;&#1575;&#1670;&#1607;" TargetMode="External"/><Relationship Id="rId6" Type="http://schemas.openxmlformats.org/officeDocument/2006/relationships/hyperlink" Target="&#1605;&#1583;&#1740;&#1585;&#1740;&#1578;%20&#1575;&#1583;&#1593;&#1575;%20&#1608;%20&#1705;&#1604;&#1740;&#1605;\W10-&#1575;&#1740;&#1585;&#1575;&#1607;&#1606;&#1588;&#1607;&#1585;" TargetMode="External"/><Relationship Id="rId15" Type="http://schemas.openxmlformats.org/officeDocument/2006/relationships/hyperlink" Target="&#1605;&#1583;&#1740;&#1585;&#1740;&#1578;%20&#1575;&#1583;&#1593;&#1575;%20&#1608;%20&#1705;&#1604;&#1740;&#1605;\X10-&#1580;&#1606;&#1578;%20&#1570;&#1576;&#1575;&#1583;\003.X10-%20&#1607;&#1586;&#1740;&#1606;&#1607;%20&#1607;&#1575;&#1740;%20&#1604;&#1580;&#1587;&#1578;&#1740;&#1705;%20&#1606;&#1589;&#1576;%20&#1575;&#1587;&#1578;&#1585;&#1575;&#1578;" TargetMode="External"/><Relationship Id="rId23" Type="http://schemas.openxmlformats.org/officeDocument/2006/relationships/hyperlink" Target="&#1605;&#1583;&#1740;&#1585;&#1740;&#1578;%20&#1575;&#1583;&#1593;&#1575;%20&#1608;%20&#1705;&#1604;&#1740;&#1605;\TURL10\006.TURL10-%20&#1575;&#1587;&#1578;&#1585;&#1575;&#1578;" TargetMode="External"/><Relationship Id="rId28" Type="http://schemas.openxmlformats.org/officeDocument/2006/relationships/hyperlink" Target="&#1605;&#1583;&#1740;&#1585;&#1740;&#1578;%20&#1575;&#1583;&#1593;&#1575;%20&#1608;%20&#1705;&#1604;&#1740;&#1605;\OTHERS\002.OTHER-%20&#1582;&#1583;&#1605;&#1575;&#1578;%20&#1575;&#1585;&#1575;&#1574;&#1607;%20&#1588;&#1583;&#1607;" TargetMode="External"/><Relationship Id="rId36" Type="http://schemas.openxmlformats.org/officeDocument/2006/relationships/hyperlink" Target="&#1605;&#1583;&#1740;&#1585;&#1740;&#1578;%20&#1575;&#1583;&#1593;&#1575;%20&#1608;%20&#1705;&#1604;&#1740;&#1605;\Z10-7%201-&#1662;&#1688;&#1608;&#1607;&#1588;\002.Z107%201%20-%20&#1593;&#1583;&#1605;%20&#1578;&#1582;&#1589;&#1740;&#1589;%20&#1576;&#1585;&#1602;%20&#1576;&#1607;%20&#1705;&#1575;&#1585;&#1711;&#1575;&#1607;" TargetMode="External"/><Relationship Id="rId49" Type="http://schemas.openxmlformats.org/officeDocument/2006/relationships/hyperlink" Target="&#1605;&#1583;&#1740;&#1585;&#1740;&#1578;%20&#1575;&#1583;&#1593;&#1575;%20&#1608;%20&#1705;&#1604;&#1740;&#1605;\TURL10\008.TURL10-%20&#1578;&#1575;&#1582;&#1740;&#1585;%20&#1583;&#1585;%20&#1578;&#1581;&#1608;&#1740;&#1604;%20&#1705;&#1575;&#1585;&#1711;&#1575;&#1607;%20&#1608;%20&#1583;&#1585;&#1582;&#1608;&#1575;&#1587;&#1578;%20&#1578;&#1593;&#1604;&#1740;&#1602;" TargetMode="External"/><Relationship Id="rId57" Type="http://schemas.openxmlformats.org/officeDocument/2006/relationships/hyperlink" Target="&#1605;&#1583;&#1740;&#1585;&#1740;&#1578;%20&#1575;&#1583;&#1593;&#1575;%20&#1608;%20&#1705;&#1604;&#1740;&#1605;\OTHERS\009.OTHERS-%20&#1605;&#1588;&#1575;&#1585;&#1705;&#1578;%20&#1575;&#1576;&#1578;&#1705;&#1575;&#1585;%20&#1608;%20&#1570;&#1583;&#1585;&#1740;&#1606;" TargetMode="External"/><Relationship Id="rId10" Type="http://schemas.openxmlformats.org/officeDocument/2006/relationships/hyperlink" Target="&#1605;&#1583;&#1740;&#1585;&#1740;&#1578;%20&#1575;&#1583;&#1593;&#1575;%20&#1608;%20&#1705;&#1604;&#1740;&#1605;\TURL10" TargetMode="External"/><Relationship Id="rId31" Type="http://schemas.openxmlformats.org/officeDocument/2006/relationships/hyperlink" Target="&#1605;&#1583;&#1740;&#1585;&#1740;&#1578;%20&#1575;&#1583;&#1593;&#1575;%20&#1608;%20&#1705;&#1604;&#1740;&#1605;\X10-&#1580;&#1606;&#1578;%20&#1570;&#1576;&#1575;&#1583;\004.X10-%20&#1576;&#1585;&#1602;%20&#1583;&#1587;&#1578;&#1711;&#1575;&#1607;%20&#1581;&#1601;&#1575;&#1585;%20&#1605;&#1705;&#1575;&#1606;&#1740;&#1586;&#1607;%20&#1583;&#1608;&#1605;" TargetMode="External"/><Relationship Id="rId44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5.Z10%20-%20&#1578;&#1575;&#1582;&#1740;&#1585;%20&#1583;&#1585;%20&#1575;&#1576;&#1604;&#1575;&#1594;%20&#1606;&#1602;&#1588;&#1607;%20&#1607;&#1575;&#1740;%20&#1575;&#1608;&#1604;&#1740;&#1607;%20&#1608;%20&#1578;&#1594;&#1740;&#1740;&#1585;%20&#1606;&#1602;&#1588;&#1607;%20&#1607;&#1575;" TargetMode="External"/><Relationship Id="rId52" Type="http://schemas.openxmlformats.org/officeDocument/2006/relationships/hyperlink" Target="&#1605;&#1583;&#1740;&#1585;&#1740;&#1578;%20&#1575;&#1583;&#1593;&#1575;%20&#1608;%20&#1705;&#1604;&#1740;&#1605;\OTHERS\006.OTHERS-%20&#1593;&#1575;&#1604;&#1740;%20&#1601;&#1604;&#1586;" TargetMode="External"/><Relationship Id="rId60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file:///D:\&#1605;&#1583;&#1740;&#1585;&#1740;&#1578;%20&#1575;&#1583;&#1593;&#1575;%20&#1608;%20&#1705;&#1604;&#1740;&#1605;\&#1601;&#1585;&#1605;%20&#1607;&#1575;%20&#1608;%20&#1583;&#1587;&#1578;&#1608;&#1585;&#1575;&#1604;&#1593;&#1605;&#1604;\excel\&#1711;&#1585;&#1583;&#1588;%20&#1705;&#1575;&#1585;%20&#1705;&#1604;&#1740;&#1605;%20-%20&#1601;&#1575;&#1586;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542F-6B62-4548-8EE9-1EE5BAEF59F8}">
  <sheetPr>
    <outlinePr summaryBelow="0"/>
  </sheetPr>
  <dimension ref="A1:K97"/>
  <sheetViews>
    <sheetView rightToLeft="1" tabSelected="1" view="pageBreakPreview" zoomScale="80" zoomScaleNormal="80" zoomScaleSheetLayoutView="80"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F82" sqref="F82"/>
    </sheetView>
  </sheetViews>
  <sheetFormatPr defaultRowHeight="22.5" outlineLevelRow="2" x14ac:dyDescent="0.25"/>
  <cols>
    <col min="1" max="1" width="2.28515625" style="134" customWidth="1"/>
    <col min="2" max="2" width="16.28515625" style="137" customWidth="1"/>
    <col min="3" max="3" width="50.28515625" style="136" bestFit="1" customWidth="1"/>
    <col min="4" max="4" width="37" style="170" customWidth="1"/>
    <col min="5" max="5" width="99.42578125" style="132" customWidth="1"/>
    <col min="6" max="6" width="25.140625" style="133" customWidth="1"/>
    <col min="7" max="7" width="16.140625" style="132" customWidth="1"/>
    <col min="8" max="10" width="31.28515625" style="133" customWidth="1"/>
    <col min="11" max="11" width="13.7109375" style="1" customWidth="1"/>
    <col min="12" max="12" width="37.7109375" style="117" customWidth="1"/>
    <col min="13" max="13" width="20.5703125" style="117" bestFit="1" customWidth="1"/>
    <col min="14" max="14" width="16.140625" style="117" bestFit="1" customWidth="1"/>
    <col min="15" max="16384" width="9.140625" style="117"/>
  </cols>
  <sheetData>
    <row r="1" spans="1:10" s="1" customFormat="1" ht="79.5" customHeight="1" thickBot="1" x14ac:dyDescent="0.3">
      <c r="A1" s="260"/>
      <c r="B1" s="247" t="s">
        <v>134</v>
      </c>
      <c r="C1" s="248" t="s">
        <v>36</v>
      </c>
      <c r="D1" s="249" t="s">
        <v>284</v>
      </c>
      <c r="E1" s="247" t="s">
        <v>90</v>
      </c>
      <c r="F1" s="247" t="s">
        <v>331</v>
      </c>
      <c r="G1" s="248" t="s">
        <v>15</v>
      </c>
      <c r="H1" s="242" t="s">
        <v>214</v>
      </c>
      <c r="I1" s="242" t="s">
        <v>281</v>
      </c>
      <c r="J1" s="242" t="s">
        <v>302</v>
      </c>
    </row>
    <row r="2" spans="1:10" ht="24.75" customHeight="1" outlineLevel="1" thickBot="1" x14ac:dyDescent="0.3">
      <c r="A2" s="261"/>
      <c r="B2" s="243"/>
      <c r="C2" s="242"/>
      <c r="D2" s="244"/>
      <c r="E2" s="245"/>
      <c r="F2" s="245"/>
      <c r="G2" s="242"/>
      <c r="H2" s="246">
        <f>SUBTOTAL(9,H3:H95)-H75-H76-H77-H78-H79-H80</f>
        <v>6348195829936.1563</v>
      </c>
      <c r="I2" s="246">
        <f>SUBTOTAL(9,I3:I95)</f>
        <v>2302814643019.0303</v>
      </c>
      <c r="J2" s="246">
        <f>SUBTOTAL(9,J3:J95)</f>
        <v>22519330925880.02</v>
      </c>
    </row>
    <row r="3" spans="1:10" ht="26.25" outlineLevel="1" thickBot="1" x14ac:dyDescent="0.3">
      <c r="B3" s="250" t="s">
        <v>112</v>
      </c>
      <c r="C3" s="171" t="s">
        <v>29</v>
      </c>
      <c r="D3" s="172"/>
      <c r="E3" s="173"/>
      <c r="F3" s="272"/>
      <c r="G3" s="173"/>
      <c r="H3" s="174"/>
      <c r="I3" s="174"/>
      <c r="J3" s="174"/>
    </row>
    <row r="4" spans="1:10" ht="42" outlineLevel="2" x14ac:dyDescent="0.25">
      <c r="B4" s="251" t="s">
        <v>213</v>
      </c>
      <c r="C4" s="175" t="s">
        <v>211</v>
      </c>
      <c r="D4" s="176"/>
      <c r="E4" s="177" t="s">
        <v>212</v>
      </c>
      <c r="F4" s="273"/>
      <c r="G4" s="178"/>
      <c r="H4" s="179">
        <f>(374+402)*300000000</f>
        <v>232800000000</v>
      </c>
      <c r="I4" s="179"/>
      <c r="J4" s="179">
        <f>Table1[[#This Row],[بار مالی اولیه(ریال)
(میزان ادعای پیمانکار)]]</f>
        <v>232800000000</v>
      </c>
    </row>
    <row r="5" spans="1:10" ht="23.25" outlineLevel="2" thickBot="1" x14ac:dyDescent="0.3">
      <c r="B5" s="240"/>
      <c r="C5" s="180"/>
      <c r="D5" s="181"/>
      <c r="E5" s="182"/>
      <c r="F5" s="274"/>
      <c r="G5" s="183"/>
      <c r="H5" s="184"/>
      <c r="I5" s="184"/>
      <c r="J5" s="184"/>
    </row>
    <row r="6" spans="1:10" ht="26.25" outlineLevel="1" thickBot="1" x14ac:dyDescent="0.3">
      <c r="B6" s="250" t="s">
        <v>113</v>
      </c>
      <c r="C6" s="185" t="s">
        <v>30</v>
      </c>
      <c r="D6" s="186"/>
      <c r="E6" s="187"/>
      <c r="F6" s="275"/>
      <c r="G6" s="188"/>
      <c r="H6" s="189"/>
      <c r="I6" s="189"/>
      <c r="J6" s="189"/>
    </row>
    <row r="7" spans="1:10" outlineLevel="2" x14ac:dyDescent="0.25">
      <c r="B7" s="251" t="s">
        <v>111</v>
      </c>
      <c r="C7" s="190" t="s">
        <v>53</v>
      </c>
      <c r="D7" s="191"/>
      <c r="E7" s="177" t="s">
        <v>108</v>
      </c>
      <c r="F7" s="273"/>
      <c r="G7" s="178"/>
      <c r="H7" s="179"/>
      <c r="I7" s="179"/>
      <c r="J7" s="179"/>
    </row>
    <row r="8" spans="1:10" outlineLevel="2" x14ac:dyDescent="0.25">
      <c r="B8" s="252" t="s">
        <v>120</v>
      </c>
      <c r="C8" s="192" t="s">
        <v>1</v>
      </c>
      <c r="D8" s="193"/>
      <c r="E8" s="194" t="s">
        <v>105</v>
      </c>
      <c r="F8" s="211"/>
      <c r="G8" s="195"/>
      <c r="H8" s="196"/>
      <c r="I8" s="196"/>
      <c r="J8" s="196"/>
    </row>
    <row r="9" spans="1:10" ht="23.25" outlineLevel="2" thickBot="1" x14ac:dyDescent="0.3">
      <c r="B9" s="240"/>
      <c r="C9" s="180"/>
      <c r="D9" s="181"/>
      <c r="E9" s="197"/>
      <c r="F9" s="180"/>
      <c r="G9" s="198"/>
      <c r="H9" s="184"/>
      <c r="I9" s="184"/>
      <c r="J9" s="184"/>
    </row>
    <row r="10" spans="1:10" ht="26.25" outlineLevel="1" thickBot="1" x14ac:dyDescent="0.3">
      <c r="B10" s="250" t="s">
        <v>116</v>
      </c>
      <c r="C10" s="185" t="s">
        <v>31</v>
      </c>
      <c r="D10" s="186"/>
      <c r="E10" s="199"/>
      <c r="F10" s="220"/>
      <c r="G10" s="200"/>
      <c r="H10" s="189"/>
      <c r="I10" s="189"/>
      <c r="J10" s="189"/>
    </row>
    <row r="11" spans="1:10" outlineLevel="2" x14ac:dyDescent="0.25">
      <c r="B11" s="251" t="s">
        <v>114</v>
      </c>
      <c r="C11" s="175" t="s">
        <v>42</v>
      </c>
      <c r="D11" s="176"/>
      <c r="E11" s="177" t="s">
        <v>106</v>
      </c>
      <c r="F11" s="273"/>
      <c r="G11" s="178"/>
      <c r="H11" s="179"/>
      <c r="I11" s="179"/>
      <c r="J11" s="179"/>
    </row>
    <row r="12" spans="1:10" ht="63" outlineLevel="2" x14ac:dyDescent="0.25">
      <c r="B12" s="252" t="s">
        <v>115</v>
      </c>
      <c r="C12" s="201" t="s">
        <v>192</v>
      </c>
      <c r="D12" s="202" t="s">
        <v>286</v>
      </c>
      <c r="E12" s="203" t="s">
        <v>274</v>
      </c>
      <c r="F12" s="201" t="s">
        <v>333</v>
      </c>
      <c r="G12" s="195" t="s">
        <v>176</v>
      </c>
      <c r="H12" s="196">
        <v>134402080225</v>
      </c>
      <c r="I12" s="196">
        <f>Table1[[#This Row],[بار مالی اولیه(ریال)
(میزان ادعای پیمانکار)]]*0.7</f>
        <v>94081456157.5</v>
      </c>
      <c r="J12" s="196">
        <f>Table1[[#This Row],[بار مالی اولیه(ریال)
(میزان ادعای پیمانکار)]]</f>
        <v>134402080225</v>
      </c>
    </row>
    <row r="13" spans="1:10" outlineLevel="2" x14ac:dyDescent="0.25">
      <c r="B13" s="252" t="s">
        <v>227</v>
      </c>
      <c r="C13" s="192" t="s">
        <v>1</v>
      </c>
      <c r="D13" s="193"/>
      <c r="E13" s="194" t="s">
        <v>105</v>
      </c>
      <c r="F13" s="211"/>
      <c r="G13" s="195"/>
      <c r="H13" s="196"/>
      <c r="I13" s="196"/>
      <c r="J13" s="196"/>
    </row>
    <row r="14" spans="1:10" ht="23.25" outlineLevel="2" thickBot="1" x14ac:dyDescent="0.3">
      <c r="B14" s="240"/>
      <c r="C14" s="180"/>
      <c r="D14" s="181"/>
      <c r="E14" s="204"/>
      <c r="F14" s="216"/>
      <c r="G14" s="205"/>
      <c r="H14" s="184"/>
      <c r="I14" s="184"/>
      <c r="J14" s="184"/>
    </row>
    <row r="15" spans="1:10" ht="26.25" outlineLevel="1" thickBot="1" x14ac:dyDescent="0.3">
      <c r="B15" s="250" t="s">
        <v>117</v>
      </c>
      <c r="C15" s="185" t="s">
        <v>193</v>
      </c>
      <c r="D15" s="186"/>
      <c r="E15" s="199"/>
      <c r="F15" s="220"/>
      <c r="G15" s="200"/>
      <c r="H15" s="189"/>
      <c r="I15" s="189"/>
      <c r="J15" s="189"/>
    </row>
    <row r="16" spans="1:10" outlineLevel="2" x14ac:dyDescent="0.25">
      <c r="B16" s="251" t="s">
        <v>149</v>
      </c>
      <c r="C16" s="175" t="s">
        <v>2</v>
      </c>
      <c r="D16" s="176"/>
      <c r="E16" s="177" t="s">
        <v>107</v>
      </c>
      <c r="F16" s="273"/>
      <c r="G16" s="178"/>
      <c r="H16" s="179"/>
      <c r="I16" s="179"/>
      <c r="J16" s="179"/>
    </row>
    <row r="17" spans="2:11" ht="45" customHeight="1" outlineLevel="2" x14ac:dyDescent="0.25">
      <c r="B17" s="252" t="s">
        <v>150</v>
      </c>
      <c r="C17" s="201" t="s">
        <v>39</v>
      </c>
      <c r="D17" s="202" t="s">
        <v>286</v>
      </c>
      <c r="E17" s="203" t="s">
        <v>234</v>
      </c>
      <c r="F17" s="201" t="s">
        <v>333</v>
      </c>
      <c r="G17" s="195" t="s">
        <v>176</v>
      </c>
      <c r="H17" s="196">
        <f>35779531251*1.3</f>
        <v>46513390626.300003</v>
      </c>
      <c r="I17" s="196">
        <f>Table1[[#This Row],[بار مالی اولیه(ریال)
(میزان ادعای پیمانکار)]]*0.7</f>
        <v>32559373438.41</v>
      </c>
      <c r="J17" s="196">
        <f>Table1[[#This Row],[بار مالی اولیه(ریال)
(میزان ادعای پیمانکار)]]</f>
        <v>46513390626.300003</v>
      </c>
    </row>
    <row r="18" spans="2:11" outlineLevel="2" x14ac:dyDescent="0.25">
      <c r="B18" s="252" t="s">
        <v>151</v>
      </c>
      <c r="C18" s="201" t="s">
        <v>239</v>
      </c>
      <c r="D18" s="202"/>
      <c r="E18" s="203" t="s">
        <v>240</v>
      </c>
      <c r="F18" s="201"/>
      <c r="G18" s="206" t="s">
        <v>176</v>
      </c>
      <c r="H18" s="207">
        <v>107200000000</v>
      </c>
      <c r="I18" s="207">
        <v>107200000000</v>
      </c>
      <c r="J18" s="207">
        <f>Table1[[#This Row],[بار مالی اولیه(ریال)
(میزان ادعای پیمانکار)]]</f>
        <v>107200000000</v>
      </c>
    </row>
    <row r="19" spans="2:11" outlineLevel="2" x14ac:dyDescent="0.25">
      <c r="B19" s="252"/>
      <c r="C19" s="192"/>
      <c r="D19" s="193"/>
      <c r="E19" s="194"/>
      <c r="F19" s="211"/>
      <c r="G19" s="195"/>
      <c r="H19" s="196"/>
      <c r="I19" s="196"/>
      <c r="J19" s="196"/>
    </row>
    <row r="20" spans="2:11" outlineLevel="2" x14ac:dyDescent="0.25">
      <c r="B20" s="252"/>
      <c r="C20" s="192" t="s">
        <v>109</v>
      </c>
      <c r="D20" s="193"/>
      <c r="E20" s="194" t="s">
        <v>110</v>
      </c>
      <c r="F20" s="211"/>
      <c r="G20" s="195"/>
      <c r="H20" s="196"/>
      <c r="I20" s="196"/>
      <c r="J20" s="196"/>
    </row>
    <row r="21" spans="2:11" outlineLevel="2" x14ac:dyDescent="0.25">
      <c r="B21" s="252"/>
      <c r="C21" s="192" t="s">
        <v>1</v>
      </c>
      <c r="D21" s="193"/>
      <c r="E21" s="194" t="s">
        <v>105</v>
      </c>
      <c r="F21" s="211"/>
      <c r="G21" s="195"/>
      <c r="H21" s="196"/>
      <c r="I21" s="196"/>
      <c r="J21" s="196"/>
    </row>
    <row r="22" spans="2:11" ht="23.25" outlineLevel="2" thickBot="1" x14ac:dyDescent="0.3">
      <c r="B22" s="240"/>
      <c r="C22" s="180"/>
      <c r="D22" s="181"/>
      <c r="E22" s="197"/>
      <c r="F22" s="180"/>
      <c r="G22" s="198"/>
      <c r="H22" s="184"/>
      <c r="I22" s="184"/>
      <c r="J22" s="184"/>
    </row>
    <row r="23" spans="2:11" ht="26.25" outlineLevel="1" thickBot="1" x14ac:dyDescent="0.3">
      <c r="B23" s="250" t="s">
        <v>118</v>
      </c>
      <c r="C23" s="185" t="s">
        <v>33</v>
      </c>
      <c r="D23" s="186"/>
      <c r="E23" s="199"/>
      <c r="F23" s="220"/>
      <c r="G23" s="200"/>
      <c r="H23" s="189"/>
      <c r="I23" s="189"/>
      <c r="J23" s="189"/>
    </row>
    <row r="24" spans="2:11" ht="105" outlineLevel="2" x14ac:dyDescent="0.25">
      <c r="B24" s="251" t="s">
        <v>146</v>
      </c>
      <c r="C24" s="190" t="s">
        <v>129</v>
      </c>
      <c r="D24" s="191"/>
      <c r="E24" s="208" t="s">
        <v>127</v>
      </c>
      <c r="F24" s="190"/>
      <c r="G24" s="209" t="s">
        <v>176</v>
      </c>
      <c r="H24" s="210"/>
      <c r="I24" s="210"/>
      <c r="J24" s="210"/>
    </row>
    <row r="25" spans="2:11" ht="147" outlineLevel="2" x14ac:dyDescent="0.25">
      <c r="B25" s="252" t="s">
        <v>147</v>
      </c>
      <c r="C25" s="201" t="s">
        <v>140</v>
      </c>
      <c r="D25" s="202" t="s">
        <v>285</v>
      </c>
      <c r="E25" s="194" t="s">
        <v>245</v>
      </c>
      <c r="F25" s="211" t="s">
        <v>334</v>
      </c>
      <c r="G25" s="195" t="s">
        <v>176</v>
      </c>
      <c r="H25" s="196"/>
      <c r="I25" s="196"/>
      <c r="J25" s="196"/>
      <c r="K25" s="1" t="s">
        <v>208</v>
      </c>
    </row>
    <row r="26" spans="2:11" ht="147" outlineLevel="2" x14ac:dyDescent="0.25">
      <c r="B26" s="252" t="s">
        <v>148</v>
      </c>
      <c r="C26" s="201" t="s">
        <v>141</v>
      </c>
      <c r="D26" s="202" t="s">
        <v>285</v>
      </c>
      <c r="E26" s="194" t="s">
        <v>245</v>
      </c>
      <c r="F26" s="211" t="s">
        <v>334</v>
      </c>
      <c r="G26" s="195" t="s">
        <v>176</v>
      </c>
      <c r="H26" s="196"/>
      <c r="I26" s="196"/>
      <c r="J26" s="196"/>
    </row>
    <row r="27" spans="2:11" outlineLevel="2" x14ac:dyDescent="0.25">
      <c r="B27" s="252" t="s">
        <v>183</v>
      </c>
      <c r="C27" s="201" t="s">
        <v>179</v>
      </c>
      <c r="D27" s="202" t="s">
        <v>287</v>
      </c>
      <c r="E27" s="194" t="s">
        <v>181</v>
      </c>
      <c r="F27" s="211"/>
      <c r="G27" s="195"/>
      <c r="H27" s="196"/>
      <c r="I27" s="196"/>
      <c r="J27" s="196"/>
    </row>
    <row r="28" spans="2:11" ht="63" outlineLevel="2" x14ac:dyDescent="0.25">
      <c r="B28" s="252" t="s">
        <v>184</v>
      </c>
      <c r="C28" s="201" t="s">
        <v>180</v>
      </c>
      <c r="D28" s="202" t="s">
        <v>291</v>
      </c>
      <c r="E28" s="194" t="s">
        <v>275</v>
      </c>
      <c r="F28" s="211" t="s">
        <v>334</v>
      </c>
      <c r="G28" s="195" t="s">
        <v>176</v>
      </c>
      <c r="H28" s="196"/>
      <c r="I28" s="196"/>
      <c r="J28" s="196"/>
    </row>
    <row r="29" spans="2:11" outlineLevel="2" x14ac:dyDescent="0.25">
      <c r="B29" s="252" t="s">
        <v>185</v>
      </c>
      <c r="C29" s="201" t="s">
        <v>186</v>
      </c>
      <c r="D29" s="202"/>
      <c r="E29" s="194" t="s">
        <v>182</v>
      </c>
      <c r="F29" s="211"/>
      <c r="G29" s="195"/>
      <c r="H29" s="196"/>
      <c r="I29" s="196"/>
      <c r="J29" s="196"/>
    </row>
    <row r="30" spans="2:11" outlineLevel="2" x14ac:dyDescent="0.25">
      <c r="B30" s="252" t="s">
        <v>236</v>
      </c>
      <c r="C30" s="201" t="s">
        <v>237</v>
      </c>
      <c r="D30" s="202"/>
      <c r="E30" s="203" t="s">
        <v>238</v>
      </c>
      <c r="F30" s="201" t="s">
        <v>332</v>
      </c>
      <c r="G30" s="206" t="s">
        <v>176</v>
      </c>
      <c r="H30" s="207">
        <v>35000000000</v>
      </c>
      <c r="I30" s="207">
        <v>35000000000</v>
      </c>
      <c r="J30" s="207">
        <f>Table1[[#This Row],[بار مالی اولیه(ریال)
(میزان ادعای پیمانکار)]]</f>
        <v>35000000000</v>
      </c>
    </row>
    <row r="31" spans="2:11" ht="42" outlineLevel="2" x14ac:dyDescent="0.25">
      <c r="B31" s="241"/>
      <c r="C31" s="211" t="s">
        <v>277</v>
      </c>
      <c r="D31" s="212"/>
      <c r="E31" s="203" t="s">
        <v>278</v>
      </c>
      <c r="F31" s="201"/>
      <c r="G31" s="195"/>
      <c r="H31" s="196"/>
      <c r="I31" s="196"/>
      <c r="J31" s="196"/>
    </row>
    <row r="32" spans="2:11" outlineLevel="2" x14ac:dyDescent="0.25">
      <c r="B32" s="241"/>
      <c r="C32" s="211"/>
      <c r="D32" s="212"/>
      <c r="E32" s="194"/>
      <c r="F32" s="211"/>
      <c r="G32" s="195"/>
      <c r="H32" s="196"/>
      <c r="I32" s="196"/>
      <c r="J32" s="196"/>
    </row>
    <row r="33" spans="2:10" outlineLevel="2" x14ac:dyDescent="0.25">
      <c r="B33" s="241"/>
      <c r="C33" s="211"/>
      <c r="D33" s="212"/>
      <c r="E33" s="194"/>
      <c r="F33" s="211"/>
      <c r="G33" s="195"/>
      <c r="H33" s="196"/>
      <c r="I33" s="196"/>
      <c r="J33" s="196"/>
    </row>
    <row r="34" spans="2:10" outlineLevel="2" x14ac:dyDescent="0.25">
      <c r="B34" s="241"/>
      <c r="C34" s="211"/>
      <c r="D34" s="212"/>
      <c r="E34" s="194"/>
      <c r="F34" s="211"/>
      <c r="G34" s="195"/>
      <c r="H34" s="196"/>
      <c r="I34" s="196"/>
      <c r="J34" s="196"/>
    </row>
    <row r="35" spans="2:10" outlineLevel="2" x14ac:dyDescent="0.25">
      <c r="B35" s="241"/>
      <c r="C35" s="211"/>
      <c r="D35" s="212"/>
      <c r="E35" s="194"/>
      <c r="F35" s="211"/>
      <c r="G35" s="195"/>
      <c r="H35" s="196"/>
      <c r="I35" s="196"/>
      <c r="J35" s="196"/>
    </row>
    <row r="36" spans="2:10" outlineLevel="2" x14ac:dyDescent="0.25">
      <c r="B36" s="241"/>
      <c r="C36" s="211"/>
      <c r="D36" s="212"/>
      <c r="E36" s="194"/>
      <c r="F36" s="211"/>
      <c r="G36" s="195"/>
      <c r="H36" s="196"/>
      <c r="I36" s="196"/>
      <c r="J36" s="196"/>
    </row>
    <row r="37" spans="2:10" ht="23.25" outlineLevel="2" thickBot="1" x14ac:dyDescent="0.3">
      <c r="B37" s="241"/>
      <c r="C37" s="211"/>
      <c r="D37" s="212"/>
      <c r="E37" s="194"/>
      <c r="F37" s="211"/>
      <c r="G37" s="195"/>
      <c r="H37" s="196"/>
      <c r="I37" s="196"/>
      <c r="J37" s="196"/>
    </row>
    <row r="38" spans="2:10" ht="26.25" outlineLevel="1" thickBot="1" x14ac:dyDescent="0.3">
      <c r="B38" s="250" t="s">
        <v>119</v>
      </c>
      <c r="C38" s="185" t="s">
        <v>34</v>
      </c>
      <c r="D38" s="186"/>
      <c r="E38" s="199"/>
      <c r="F38" s="220"/>
      <c r="G38" s="200"/>
      <c r="H38" s="189"/>
      <c r="I38" s="189"/>
      <c r="J38" s="189"/>
    </row>
    <row r="39" spans="2:10" outlineLevel="2" x14ac:dyDescent="0.25">
      <c r="B39" s="241"/>
      <c r="C39" s="211" t="s">
        <v>9</v>
      </c>
      <c r="D39" s="212"/>
      <c r="E39" s="194" t="s">
        <v>46</v>
      </c>
      <c r="F39" s="211"/>
      <c r="G39" s="195"/>
      <c r="H39" s="196"/>
      <c r="I39" s="196"/>
      <c r="J39" s="196"/>
    </row>
    <row r="40" spans="2:10" ht="23.25" outlineLevel="2" thickBot="1" x14ac:dyDescent="0.3">
      <c r="B40" s="241"/>
      <c r="C40" s="211"/>
      <c r="D40" s="212"/>
      <c r="E40" s="194"/>
      <c r="F40" s="211"/>
      <c r="G40" s="195"/>
      <c r="H40" s="196"/>
      <c r="I40" s="196"/>
      <c r="J40" s="196"/>
    </row>
    <row r="41" spans="2:10" ht="26.25" outlineLevel="1" thickBot="1" x14ac:dyDescent="0.3">
      <c r="B41" s="250" t="s">
        <v>137</v>
      </c>
      <c r="C41" s="185" t="s">
        <v>138</v>
      </c>
      <c r="D41" s="186"/>
      <c r="E41" s="199"/>
      <c r="F41" s="220"/>
      <c r="G41" s="200"/>
      <c r="H41" s="189"/>
      <c r="I41" s="189"/>
      <c r="J41" s="189"/>
    </row>
    <row r="42" spans="2:10" ht="60.75" customHeight="1" outlineLevel="2" thickBot="1" x14ac:dyDescent="0.3">
      <c r="B42" s="252" t="s">
        <v>156</v>
      </c>
      <c r="C42" s="201" t="s">
        <v>139</v>
      </c>
      <c r="D42" s="202" t="s">
        <v>286</v>
      </c>
      <c r="E42" s="203" t="s">
        <v>233</v>
      </c>
      <c r="F42" s="201" t="s">
        <v>333</v>
      </c>
      <c r="G42" s="206" t="s">
        <v>176</v>
      </c>
      <c r="H42" s="207">
        <f>953385000*1.3</f>
        <v>1239400500</v>
      </c>
      <c r="I42" s="207">
        <f>Table1[[#This Row],[بار مالی اولیه(ریال)
(میزان ادعای پیمانکار)]]*0.7</f>
        <v>867580350</v>
      </c>
      <c r="J42" s="207">
        <f>Table1[[#This Row],[بار مالی اولیه(ریال)
(میزان ادعای پیمانکار)]]</f>
        <v>1239400500</v>
      </c>
    </row>
    <row r="43" spans="2:10" ht="26.25" outlineLevel="1" thickBot="1" x14ac:dyDescent="0.3">
      <c r="B43" s="250" t="s">
        <v>121</v>
      </c>
      <c r="C43" s="185" t="s">
        <v>45</v>
      </c>
      <c r="D43" s="186"/>
      <c r="E43" s="199"/>
      <c r="F43" s="220"/>
      <c r="G43" s="200"/>
      <c r="H43" s="189"/>
      <c r="I43" s="189"/>
      <c r="J43" s="189"/>
    </row>
    <row r="44" spans="2:10" ht="23.25" outlineLevel="2" thickBot="1" x14ac:dyDescent="0.3">
      <c r="B44" s="252"/>
      <c r="C44" s="201" t="s">
        <v>143</v>
      </c>
      <c r="D44" s="202"/>
      <c r="E44" s="194" t="s">
        <v>17</v>
      </c>
      <c r="F44" s="211"/>
      <c r="G44" s="195"/>
      <c r="H44" s="196"/>
      <c r="I44" s="196"/>
      <c r="J44" s="196"/>
    </row>
    <row r="45" spans="2:10" ht="26.25" outlineLevel="1" thickBot="1" x14ac:dyDescent="0.3">
      <c r="B45" s="250" t="s">
        <v>122</v>
      </c>
      <c r="C45" s="185" t="s">
        <v>124</v>
      </c>
      <c r="D45" s="186"/>
      <c r="E45" s="199"/>
      <c r="F45" s="220"/>
      <c r="G45" s="200"/>
      <c r="H45" s="189"/>
      <c r="I45" s="189"/>
      <c r="J45" s="189"/>
    </row>
    <row r="46" spans="2:10" outlineLevel="2" x14ac:dyDescent="0.25">
      <c r="B46" s="241"/>
      <c r="C46" s="253" t="s">
        <v>98</v>
      </c>
      <c r="D46" s="254"/>
      <c r="E46" s="213" t="s">
        <v>99</v>
      </c>
      <c r="F46" s="253"/>
      <c r="G46" s="214"/>
      <c r="H46" s="215"/>
      <c r="I46" s="215"/>
      <c r="J46" s="215"/>
    </row>
    <row r="47" spans="2:10" ht="42.75" outlineLevel="2" thickBot="1" x14ac:dyDescent="0.3">
      <c r="B47" s="241"/>
      <c r="C47" s="211" t="s">
        <v>64</v>
      </c>
      <c r="D47" s="212"/>
      <c r="E47" s="194" t="s">
        <v>65</v>
      </c>
      <c r="F47" s="211"/>
      <c r="G47" s="195"/>
      <c r="H47" s="196"/>
      <c r="I47" s="196"/>
      <c r="J47" s="196"/>
    </row>
    <row r="48" spans="2:10" ht="26.25" outlineLevel="1" thickBot="1" x14ac:dyDescent="0.3">
      <c r="B48" s="250" t="s">
        <v>123</v>
      </c>
      <c r="C48" s="185" t="s">
        <v>40</v>
      </c>
      <c r="D48" s="186"/>
      <c r="E48" s="199"/>
      <c r="F48" s="220"/>
      <c r="G48" s="200"/>
      <c r="H48" s="189"/>
      <c r="I48" s="189"/>
      <c r="J48" s="189"/>
    </row>
    <row r="49" spans="2:10" ht="168" outlineLevel="2" x14ac:dyDescent="0.25">
      <c r="B49" s="251" t="s">
        <v>158</v>
      </c>
      <c r="C49" s="190" t="s">
        <v>128</v>
      </c>
      <c r="D49" s="191" t="s">
        <v>288</v>
      </c>
      <c r="E49" s="208" t="s">
        <v>335</v>
      </c>
      <c r="F49" s="190"/>
      <c r="G49" s="178" t="s">
        <v>176</v>
      </c>
      <c r="H49" s="179"/>
      <c r="I49" s="179"/>
      <c r="J49" s="179"/>
    </row>
    <row r="50" spans="2:10" ht="189" outlineLevel="2" x14ac:dyDescent="0.25">
      <c r="B50" s="252" t="s">
        <v>159</v>
      </c>
      <c r="C50" s="201" t="s">
        <v>269</v>
      </c>
      <c r="D50" s="202" t="s">
        <v>289</v>
      </c>
      <c r="E50" s="203" t="s">
        <v>325</v>
      </c>
      <c r="F50" s="201" t="s">
        <v>332</v>
      </c>
      <c r="G50" s="195" t="s">
        <v>176</v>
      </c>
      <c r="H50" s="196">
        <v>735415334655.45605</v>
      </c>
      <c r="I50" s="196">
        <v>177653825323</v>
      </c>
      <c r="J50" s="196">
        <v>4464347424892</v>
      </c>
    </row>
    <row r="51" spans="2:10" ht="231" outlineLevel="2" x14ac:dyDescent="0.25">
      <c r="B51" s="252" t="s">
        <v>160</v>
      </c>
      <c r="C51" s="201" t="s">
        <v>136</v>
      </c>
      <c r="D51" s="202" t="s">
        <v>290</v>
      </c>
      <c r="E51" s="203" t="s">
        <v>327</v>
      </c>
      <c r="F51" s="201" t="s">
        <v>336</v>
      </c>
      <c r="G51" s="195" t="s">
        <v>176</v>
      </c>
      <c r="H51" s="196"/>
      <c r="I51" s="196"/>
      <c r="J51" s="196"/>
    </row>
    <row r="52" spans="2:10" ht="84" outlineLevel="2" x14ac:dyDescent="0.25">
      <c r="B52" s="252" t="s">
        <v>161</v>
      </c>
      <c r="C52" s="201" t="s">
        <v>142</v>
      </c>
      <c r="D52" s="202"/>
      <c r="E52" s="203" t="s">
        <v>226</v>
      </c>
      <c r="F52" s="201"/>
      <c r="G52" s="206" t="s">
        <v>176</v>
      </c>
      <c r="H52" s="207"/>
      <c r="I52" s="207"/>
      <c r="J52" s="207"/>
    </row>
    <row r="53" spans="2:10" ht="42" outlineLevel="2" x14ac:dyDescent="0.25">
      <c r="B53" s="252" t="s">
        <v>169</v>
      </c>
      <c r="C53" s="201" t="s">
        <v>270</v>
      </c>
      <c r="D53" s="202"/>
      <c r="E53" s="203" t="s">
        <v>171</v>
      </c>
      <c r="F53" s="201" t="s">
        <v>332</v>
      </c>
      <c r="G53" s="206" t="s">
        <v>176</v>
      </c>
      <c r="H53" s="207">
        <v>296569917134.39996</v>
      </c>
      <c r="I53" s="207">
        <v>296569917134.39996</v>
      </c>
      <c r="J53" s="207">
        <v>605707205559</v>
      </c>
    </row>
    <row r="54" spans="2:10" ht="42" outlineLevel="2" x14ac:dyDescent="0.25">
      <c r="B54" s="252" t="s">
        <v>172</v>
      </c>
      <c r="C54" s="201" t="s">
        <v>173</v>
      </c>
      <c r="D54" s="202"/>
      <c r="E54" s="194" t="s">
        <v>271</v>
      </c>
      <c r="F54" s="211"/>
      <c r="G54" s="195" t="s">
        <v>176</v>
      </c>
      <c r="H54" s="196"/>
      <c r="I54" s="196"/>
      <c r="J54" s="196"/>
    </row>
    <row r="55" spans="2:10" ht="105" outlineLevel="2" x14ac:dyDescent="0.25">
      <c r="B55" s="252" t="s">
        <v>195</v>
      </c>
      <c r="C55" s="201" t="s">
        <v>194</v>
      </c>
      <c r="D55" s="202" t="s">
        <v>291</v>
      </c>
      <c r="E55" s="203" t="s">
        <v>328</v>
      </c>
      <c r="F55" s="201" t="s">
        <v>334</v>
      </c>
      <c r="G55" s="195" t="s">
        <v>176</v>
      </c>
      <c r="H55" s="196">
        <v>2055600500</v>
      </c>
      <c r="I55" s="196"/>
      <c r="J55" s="196">
        <v>2055600500</v>
      </c>
    </row>
    <row r="56" spans="2:10" ht="105" outlineLevel="2" x14ac:dyDescent="0.25">
      <c r="B56" s="252" t="s">
        <v>196</v>
      </c>
      <c r="C56" s="201" t="s">
        <v>202</v>
      </c>
      <c r="D56" s="202" t="s">
        <v>293</v>
      </c>
      <c r="E56" s="203" t="s">
        <v>310</v>
      </c>
      <c r="F56" s="201" t="s">
        <v>334</v>
      </c>
      <c r="G56" s="195" t="s">
        <v>176</v>
      </c>
      <c r="H56" s="196">
        <v>802444365238</v>
      </c>
      <c r="I56" s="196"/>
      <c r="J56" s="196">
        <v>802444365238</v>
      </c>
    </row>
    <row r="57" spans="2:10" ht="63" outlineLevel="2" x14ac:dyDescent="0.25">
      <c r="B57" s="252" t="s">
        <v>197</v>
      </c>
      <c r="C57" s="201" t="s">
        <v>248</v>
      </c>
      <c r="D57" s="202" t="s">
        <v>305</v>
      </c>
      <c r="E57" s="203" t="s">
        <v>273</v>
      </c>
      <c r="F57" s="201" t="s">
        <v>332</v>
      </c>
      <c r="G57" s="195" t="s">
        <v>176</v>
      </c>
      <c r="H57" s="256">
        <v>650000000000</v>
      </c>
      <c r="I57" s="257"/>
      <c r="J57" s="196">
        <v>11300000000000</v>
      </c>
    </row>
    <row r="58" spans="2:10" ht="105" outlineLevel="2" x14ac:dyDescent="0.25">
      <c r="B58" s="252" t="s">
        <v>247</v>
      </c>
      <c r="C58" s="201" t="s">
        <v>220</v>
      </c>
      <c r="D58" s="202" t="s">
        <v>294</v>
      </c>
      <c r="E58" s="203" t="s">
        <v>329</v>
      </c>
      <c r="F58" s="201" t="s">
        <v>334</v>
      </c>
      <c r="G58" s="195" t="s">
        <v>176</v>
      </c>
      <c r="H58" s="258"/>
      <c r="I58" s="259"/>
      <c r="J58" s="196"/>
    </row>
    <row r="59" spans="2:10" ht="84" outlineLevel="2" x14ac:dyDescent="0.25">
      <c r="B59" s="241" t="s">
        <v>306</v>
      </c>
      <c r="C59" s="201" t="s">
        <v>307</v>
      </c>
      <c r="D59" s="202" t="s">
        <v>308</v>
      </c>
      <c r="E59" s="194"/>
      <c r="F59" s="211"/>
      <c r="G59" s="195"/>
      <c r="H59" s="196"/>
      <c r="I59" s="196"/>
      <c r="J59" s="196"/>
    </row>
    <row r="60" spans="2:10" outlineLevel="2" x14ac:dyDescent="0.25">
      <c r="B60" s="241"/>
      <c r="C60" s="211"/>
      <c r="D60" s="212"/>
      <c r="E60" s="194"/>
      <c r="F60" s="211"/>
      <c r="G60" s="195"/>
      <c r="H60" s="196"/>
      <c r="I60" s="196"/>
      <c r="J60" s="196"/>
    </row>
    <row r="61" spans="2:10" outlineLevel="2" x14ac:dyDescent="0.25">
      <c r="B61" s="241"/>
      <c r="C61" s="211"/>
      <c r="D61" s="212"/>
      <c r="E61" s="194"/>
      <c r="F61" s="211"/>
      <c r="G61" s="195"/>
      <c r="H61" s="196"/>
      <c r="I61" s="196"/>
      <c r="J61" s="196"/>
    </row>
    <row r="62" spans="2:10" outlineLevel="2" x14ac:dyDescent="0.25">
      <c r="B62" s="241"/>
      <c r="C62" s="211"/>
      <c r="D62" s="212"/>
      <c r="E62" s="194"/>
      <c r="F62" s="211"/>
      <c r="G62" s="195"/>
      <c r="H62" s="196"/>
      <c r="I62" s="196"/>
      <c r="J62" s="196"/>
    </row>
    <row r="63" spans="2:10" ht="23.25" outlineLevel="2" thickBot="1" x14ac:dyDescent="0.3">
      <c r="B63" s="240"/>
      <c r="C63" s="216"/>
      <c r="D63" s="217"/>
      <c r="E63" s="204"/>
      <c r="F63" s="216"/>
      <c r="G63" s="205"/>
      <c r="H63" s="184"/>
      <c r="I63" s="184"/>
      <c r="J63" s="184"/>
    </row>
    <row r="64" spans="2:10" ht="26.25" outlineLevel="1" thickBot="1" x14ac:dyDescent="0.3">
      <c r="B64" s="250" t="s">
        <v>125</v>
      </c>
      <c r="C64" s="218" t="s">
        <v>125</v>
      </c>
      <c r="D64" s="219"/>
      <c r="E64" s="199"/>
      <c r="F64" s="220"/>
      <c r="G64" s="200"/>
      <c r="H64" s="189"/>
      <c r="I64" s="189"/>
      <c r="J64" s="189"/>
    </row>
    <row r="65" spans="1:11" ht="84" outlineLevel="2" x14ac:dyDescent="0.25">
      <c r="B65" s="251" t="s">
        <v>144</v>
      </c>
      <c r="C65" s="190" t="s">
        <v>0</v>
      </c>
      <c r="D65" s="191" t="s">
        <v>295</v>
      </c>
      <c r="E65" s="177" t="s">
        <v>279</v>
      </c>
      <c r="F65" s="273" t="s">
        <v>334</v>
      </c>
      <c r="G65" s="178"/>
      <c r="H65" s="179">
        <v>3228738967724</v>
      </c>
      <c r="I65" s="179"/>
      <c r="J65" s="179">
        <v>3228738967724</v>
      </c>
    </row>
    <row r="66" spans="1:11" outlineLevel="2" x14ac:dyDescent="0.25">
      <c r="B66" s="252" t="s">
        <v>145</v>
      </c>
      <c r="C66" s="192" t="s">
        <v>135</v>
      </c>
      <c r="D66" s="193"/>
      <c r="E66" s="194" t="s">
        <v>19</v>
      </c>
      <c r="F66" s="211"/>
      <c r="G66" s="195"/>
      <c r="H66" s="196"/>
      <c r="I66" s="196"/>
      <c r="J66" s="196"/>
    </row>
    <row r="67" spans="1:11" ht="42" outlineLevel="2" x14ac:dyDescent="0.25">
      <c r="B67" s="252" t="s">
        <v>162</v>
      </c>
      <c r="C67" s="192" t="s">
        <v>167</v>
      </c>
      <c r="D67" s="193"/>
      <c r="E67" s="194" t="s">
        <v>166</v>
      </c>
      <c r="F67" s="211"/>
      <c r="G67" s="195"/>
      <c r="H67" s="196"/>
      <c r="I67" s="196"/>
      <c r="J67" s="196"/>
    </row>
    <row r="68" spans="1:11" outlineLevel="2" x14ac:dyDescent="0.25">
      <c r="B68" s="252"/>
      <c r="C68" s="192" t="s">
        <v>187</v>
      </c>
      <c r="D68" s="193"/>
      <c r="E68" s="194" t="s">
        <v>189</v>
      </c>
      <c r="F68" s="211"/>
      <c r="G68" s="195"/>
      <c r="H68" s="196"/>
      <c r="I68" s="196"/>
      <c r="J68" s="196"/>
    </row>
    <row r="69" spans="1:11" ht="42" outlineLevel="2" x14ac:dyDescent="0.25">
      <c r="B69" s="252"/>
      <c r="C69" s="192" t="s">
        <v>204</v>
      </c>
      <c r="D69" s="193"/>
      <c r="E69" s="194" t="s">
        <v>205</v>
      </c>
      <c r="F69" s="211"/>
      <c r="G69" s="195"/>
      <c r="H69" s="196"/>
      <c r="I69" s="196"/>
      <c r="J69" s="196"/>
    </row>
    <row r="70" spans="1:11" ht="42" outlineLevel="2" x14ac:dyDescent="0.25">
      <c r="B70" s="241"/>
      <c r="C70" s="211" t="s">
        <v>85</v>
      </c>
      <c r="D70" s="212"/>
      <c r="E70" s="194" t="s">
        <v>86</v>
      </c>
      <c r="F70" s="211"/>
      <c r="G70" s="195"/>
      <c r="H70" s="196"/>
      <c r="I70" s="196"/>
      <c r="J70" s="196"/>
    </row>
    <row r="71" spans="1:11" ht="42" outlineLevel="2" x14ac:dyDescent="0.25">
      <c r="B71" s="241"/>
      <c r="C71" s="211" t="s">
        <v>63</v>
      </c>
      <c r="D71" s="212"/>
      <c r="E71" s="194" t="s">
        <v>87</v>
      </c>
      <c r="F71" s="211"/>
      <c r="G71" s="195"/>
      <c r="H71" s="196"/>
      <c r="I71" s="196"/>
      <c r="J71" s="196"/>
    </row>
    <row r="72" spans="1:11" outlineLevel="2" x14ac:dyDescent="0.25">
      <c r="B72" s="241"/>
      <c r="C72" s="211"/>
      <c r="D72" s="212"/>
      <c r="E72" s="194"/>
      <c r="F72" s="211"/>
      <c r="G72" s="195"/>
      <c r="H72" s="196"/>
      <c r="I72" s="196"/>
      <c r="J72" s="196"/>
    </row>
    <row r="73" spans="1:11" ht="23.25" outlineLevel="2" thickBot="1" x14ac:dyDescent="0.3">
      <c r="B73" s="241"/>
      <c r="C73" s="211"/>
      <c r="D73" s="212"/>
      <c r="E73" s="194"/>
      <c r="F73" s="211"/>
      <c r="G73" s="195"/>
      <c r="H73" s="196"/>
      <c r="I73" s="196"/>
      <c r="J73" s="196"/>
    </row>
    <row r="74" spans="1:11" ht="26.25" outlineLevel="1" thickBot="1" x14ac:dyDescent="0.3">
      <c r="A74" s="135"/>
      <c r="B74" s="250" t="s">
        <v>249</v>
      </c>
      <c r="C74" s="220" t="s">
        <v>259</v>
      </c>
      <c r="D74" s="221"/>
      <c r="E74" s="199"/>
      <c r="F74" s="220"/>
      <c r="G74" s="200"/>
      <c r="H74" s="189"/>
      <c r="I74" s="189"/>
      <c r="J74" s="189"/>
      <c r="K74" s="1" t="s">
        <v>330</v>
      </c>
    </row>
    <row r="75" spans="1:11" ht="63" outlineLevel="2" x14ac:dyDescent="0.25">
      <c r="B75" s="252" t="s">
        <v>250</v>
      </c>
      <c r="C75" s="201" t="s">
        <v>207</v>
      </c>
      <c r="D75" s="202" t="s">
        <v>301</v>
      </c>
      <c r="E75" s="203" t="s">
        <v>260</v>
      </c>
      <c r="F75" s="201" t="s">
        <v>334</v>
      </c>
      <c r="G75" s="206" t="s">
        <v>176</v>
      </c>
      <c r="H75" s="207">
        <v>235785343910</v>
      </c>
      <c r="I75" s="207">
        <f>Table1[[#This Row],[بار مالی نهایی(ریال)
(درصورت اخذ)]]</f>
        <v>86294058926</v>
      </c>
      <c r="J75" s="207">
        <f>H75-K75</f>
        <v>86294058926</v>
      </c>
      <c r="K75" s="107">
        <v>149491284984</v>
      </c>
    </row>
    <row r="76" spans="1:11" ht="63" outlineLevel="2" x14ac:dyDescent="0.25">
      <c r="B76" s="252" t="s">
        <v>253</v>
      </c>
      <c r="C76" s="201" t="s">
        <v>251</v>
      </c>
      <c r="D76" s="202" t="s">
        <v>300</v>
      </c>
      <c r="E76" s="203" t="s">
        <v>326</v>
      </c>
      <c r="F76" s="201" t="s">
        <v>332</v>
      </c>
      <c r="G76" s="206" t="s">
        <v>176</v>
      </c>
      <c r="H76" s="207">
        <v>77992144113.279984</v>
      </c>
      <c r="I76" s="196">
        <f>Table1[[#This Row],[بار مالی نهایی(ریال)
(درصورت اخذ)]]</f>
        <v>42533404491.719978</v>
      </c>
      <c r="J76" s="196">
        <f t="shared" ref="J76:J81" si="0">H76-K76</f>
        <v>42533404491.719978</v>
      </c>
      <c r="K76" s="107">
        <v>35458739621.560005</v>
      </c>
    </row>
    <row r="77" spans="1:11" outlineLevel="2" x14ac:dyDescent="0.25">
      <c r="B77" s="252" t="s">
        <v>255</v>
      </c>
      <c r="C77" s="201" t="s">
        <v>254</v>
      </c>
      <c r="D77" s="202"/>
      <c r="E77" s="203" t="s">
        <v>261</v>
      </c>
      <c r="F77" s="201"/>
      <c r="G77" s="206" t="s">
        <v>176</v>
      </c>
      <c r="H77" s="207">
        <v>21442337280</v>
      </c>
      <c r="I77" s="207">
        <f>Table1[[#This Row],[بار مالی نهایی(ریال)
(درصورت اخذ)]]</f>
        <v>21442337280</v>
      </c>
      <c r="J77" s="207">
        <f t="shared" si="0"/>
        <v>21442337280</v>
      </c>
      <c r="K77" s="107">
        <v>0</v>
      </c>
    </row>
    <row r="78" spans="1:11" ht="63" outlineLevel="2" x14ac:dyDescent="0.25">
      <c r="B78" s="252" t="s">
        <v>256</v>
      </c>
      <c r="C78" s="201" t="s">
        <v>252</v>
      </c>
      <c r="D78" s="202" t="s">
        <v>299</v>
      </c>
      <c r="E78" s="203" t="s">
        <v>264</v>
      </c>
      <c r="F78" s="201" t="s">
        <v>332</v>
      </c>
      <c r="G78" s="206" t="s">
        <v>176</v>
      </c>
      <c r="H78" s="207">
        <v>31834405680</v>
      </c>
      <c r="I78" s="196">
        <f>Table1[[#This Row],[بار مالی نهایی(ریال)
(درصورت اخذ)]]</f>
        <v>14058506935</v>
      </c>
      <c r="J78" s="196">
        <f t="shared" si="0"/>
        <v>14058506935</v>
      </c>
      <c r="K78" s="107">
        <v>17775898745</v>
      </c>
    </row>
    <row r="79" spans="1:11" ht="105" outlineLevel="2" x14ac:dyDescent="0.25">
      <c r="B79" s="252" t="s">
        <v>257</v>
      </c>
      <c r="C79" s="201" t="s">
        <v>265</v>
      </c>
      <c r="D79" s="202" t="s">
        <v>298</v>
      </c>
      <c r="E79" s="203" t="s">
        <v>312</v>
      </c>
      <c r="F79" s="201"/>
      <c r="G79" s="206" t="s">
        <v>176</v>
      </c>
      <c r="H79" s="207">
        <v>1314358925000</v>
      </c>
      <c r="I79" s="196">
        <f>Table1[[#This Row],[بار مالی نهایی(ریال)
(درصورت اخذ)]]</f>
        <v>1314358925000</v>
      </c>
      <c r="J79" s="196">
        <f t="shared" si="0"/>
        <v>1314358925000</v>
      </c>
      <c r="K79" s="1">
        <v>0</v>
      </c>
    </row>
    <row r="80" spans="1:11" outlineLevel="2" x14ac:dyDescent="0.25">
      <c r="B80" s="252" t="s">
        <v>258</v>
      </c>
      <c r="C80" s="201" t="s">
        <v>246</v>
      </c>
      <c r="D80" s="202" t="s">
        <v>296</v>
      </c>
      <c r="E80" s="203" t="s">
        <v>266</v>
      </c>
      <c r="F80" s="201"/>
      <c r="G80" s="206" t="s">
        <v>176</v>
      </c>
      <c r="H80" s="207">
        <v>9505104750</v>
      </c>
      <c r="I80" s="207">
        <f>Table1[[#This Row],[بار مالی نهایی(ریال)
(درصورت اخذ)]]</f>
        <v>9505104750</v>
      </c>
      <c r="J80" s="207">
        <f t="shared" si="0"/>
        <v>9505104750</v>
      </c>
      <c r="K80" s="107">
        <v>0</v>
      </c>
    </row>
    <row r="81" spans="1:11" ht="63" outlineLevel="2" x14ac:dyDescent="0.25">
      <c r="B81" s="252" t="s">
        <v>263</v>
      </c>
      <c r="C81" s="201" t="s">
        <v>262</v>
      </c>
      <c r="D81" s="202" t="s">
        <v>297</v>
      </c>
      <c r="E81" s="203" t="s">
        <v>276</v>
      </c>
      <c r="F81" s="201" t="s">
        <v>334</v>
      </c>
      <c r="G81" s="206" t="s">
        <v>176</v>
      </c>
      <c r="H81" s="207">
        <v>75816773333</v>
      </c>
      <c r="I81" s="196">
        <f>Table1[[#This Row],[بار مالی نهایی(ریال)
(درصورت اخذ)]]</f>
        <v>70690153233</v>
      </c>
      <c r="J81" s="196">
        <f t="shared" si="0"/>
        <v>70690153233</v>
      </c>
      <c r="K81" s="107">
        <v>5126620100</v>
      </c>
    </row>
    <row r="82" spans="1:11" outlineLevel="2" x14ac:dyDescent="0.25">
      <c r="B82" s="241"/>
      <c r="C82" s="211"/>
      <c r="D82" s="212"/>
      <c r="E82" s="194"/>
      <c r="F82" s="211"/>
      <c r="G82" s="195"/>
      <c r="H82" s="196"/>
      <c r="I82" s="196"/>
      <c r="J82" s="196"/>
    </row>
    <row r="83" spans="1:11" ht="23.25" outlineLevel="2" thickBot="1" x14ac:dyDescent="0.3">
      <c r="B83" s="240"/>
      <c r="C83" s="216"/>
      <c r="D83" s="217"/>
      <c r="E83" s="204"/>
      <c r="F83" s="216"/>
      <c r="G83" s="205"/>
      <c r="H83" s="184"/>
      <c r="I83" s="184"/>
      <c r="J83" s="184"/>
    </row>
    <row r="84" spans="1:11" ht="26.25" outlineLevel="1" thickBot="1" x14ac:dyDescent="0.3">
      <c r="A84" s="135"/>
      <c r="B84" s="250" t="s">
        <v>126</v>
      </c>
      <c r="C84" s="220" t="s">
        <v>35</v>
      </c>
      <c r="D84" s="221"/>
      <c r="E84" s="199"/>
      <c r="F84" s="220"/>
      <c r="G84" s="200"/>
      <c r="H84" s="189"/>
      <c r="I84" s="189"/>
      <c r="J84" s="189"/>
    </row>
    <row r="85" spans="1:11" outlineLevel="2" x14ac:dyDescent="0.25">
      <c r="B85" s="251" t="s">
        <v>163</v>
      </c>
      <c r="C85" s="190" t="s">
        <v>10</v>
      </c>
      <c r="D85" s="191"/>
      <c r="E85" s="208" t="s">
        <v>303</v>
      </c>
      <c r="F85" s="190"/>
      <c r="G85" s="209" t="s">
        <v>176</v>
      </c>
      <c r="H85" s="210"/>
      <c r="I85" s="210"/>
      <c r="J85" s="210"/>
    </row>
    <row r="86" spans="1:11" outlineLevel="2" x14ac:dyDescent="0.25">
      <c r="B86" s="252" t="s">
        <v>164</v>
      </c>
      <c r="C86" s="201" t="s">
        <v>130</v>
      </c>
      <c r="D86" s="202"/>
      <c r="E86" s="203" t="s">
        <v>131</v>
      </c>
      <c r="F86" s="201"/>
      <c r="G86" s="206" t="s">
        <v>176</v>
      </c>
      <c r="H86" s="207"/>
      <c r="I86" s="207"/>
      <c r="J86" s="207"/>
    </row>
    <row r="87" spans="1:11" outlineLevel="2" x14ac:dyDescent="0.25">
      <c r="B87" s="252" t="s">
        <v>165</v>
      </c>
      <c r="C87" s="201" t="s">
        <v>132</v>
      </c>
      <c r="D87" s="202"/>
      <c r="E87" s="203" t="s">
        <v>133</v>
      </c>
      <c r="F87" s="201"/>
      <c r="G87" s="206" t="s">
        <v>176</v>
      </c>
      <c r="H87" s="207"/>
      <c r="I87" s="207"/>
      <c r="J87" s="207"/>
    </row>
    <row r="88" spans="1:11" outlineLevel="2" x14ac:dyDescent="0.25">
      <c r="B88" s="252" t="s">
        <v>177</v>
      </c>
      <c r="C88" s="201" t="s">
        <v>178</v>
      </c>
      <c r="D88" s="202"/>
      <c r="E88" s="203" t="s">
        <v>190</v>
      </c>
      <c r="F88" s="201"/>
      <c r="G88" s="206" t="s">
        <v>176</v>
      </c>
      <c r="H88" s="207"/>
      <c r="I88" s="207"/>
      <c r="J88" s="207"/>
    </row>
    <row r="89" spans="1:11" ht="42" outlineLevel="2" x14ac:dyDescent="0.25">
      <c r="B89" s="241"/>
      <c r="C89" s="201" t="s">
        <v>11</v>
      </c>
      <c r="D89" s="202"/>
      <c r="E89" s="203" t="s">
        <v>16</v>
      </c>
      <c r="F89" s="201"/>
      <c r="G89" s="206" t="s">
        <v>176</v>
      </c>
      <c r="H89" s="207"/>
      <c r="I89" s="207"/>
      <c r="J89" s="207"/>
    </row>
    <row r="90" spans="1:11" outlineLevel="2" x14ac:dyDescent="0.25">
      <c r="B90" s="252" t="s">
        <v>200</v>
      </c>
      <c r="C90" s="192" t="s">
        <v>201</v>
      </c>
      <c r="D90" s="193"/>
      <c r="E90" s="223"/>
      <c r="F90" s="192"/>
      <c r="G90" s="222"/>
      <c r="H90" s="224"/>
      <c r="I90" s="224"/>
      <c r="J90" s="224"/>
    </row>
    <row r="91" spans="1:11" outlineLevel="2" x14ac:dyDescent="0.25">
      <c r="B91" s="252" t="s">
        <v>206</v>
      </c>
      <c r="C91" s="201" t="s">
        <v>217</v>
      </c>
      <c r="D91" s="202"/>
      <c r="E91" s="203" t="s">
        <v>218</v>
      </c>
      <c r="F91" s="201"/>
      <c r="G91" s="206" t="s">
        <v>176</v>
      </c>
      <c r="H91" s="207"/>
      <c r="I91" s="207"/>
      <c r="J91" s="207"/>
      <c r="K91" s="107"/>
    </row>
    <row r="92" spans="1:11" outlineLevel="2" x14ac:dyDescent="0.25">
      <c r="B92" s="252" t="s">
        <v>210</v>
      </c>
      <c r="C92" s="201" t="s">
        <v>313</v>
      </c>
      <c r="D92" s="202"/>
      <c r="E92" s="203" t="s">
        <v>315</v>
      </c>
      <c r="F92" s="201"/>
      <c r="G92" s="206"/>
      <c r="H92" s="207"/>
      <c r="I92" s="207"/>
      <c r="J92" s="207"/>
    </row>
    <row r="93" spans="1:11" outlineLevel="2" x14ac:dyDescent="0.25">
      <c r="B93" s="252" t="s">
        <v>216</v>
      </c>
      <c r="C93" s="201" t="s">
        <v>314</v>
      </c>
      <c r="D93" s="202"/>
      <c r="E93" s="203" t="s">
        <v>316</v>
      </c>
      <c r="F93" s="201"/>
      <c r="G93" s="206" t="s">
        <v>176</v>
      </c>
      <c r="H93" s="207"/>
      <c r="I93" s="207"/>
      <c r="J93" s="207"/>
    </row>
    <row r="94" spans="1:11" outlineLevel="2" x14ac:dyDescent="0.25">
      <c r="B94" s="252" t="s">
        <v>221</v>
      </c>
      <c r="C94" s="201" t="s">
        <v>319</v>
      </c>
      <c r="D94" s="202"/>
      <c r="E94" s="203" t="s">
        <v>320</v>
      </c>
      <c r="F94" s="201"/>
      <c r="G94" s="206" t="s">
        <v>176</v>
      </c>
      <c r="H94" s="207"/>
      <c r="I94" s="207"/>
      <c r="J94" s="207"/>
    </row>
    <row r="95" spans="1:11" ht="42" outlineLevel="2" x14ac:dyDescent="0.25">
      <c r="B95" s="252" t="s">
        <v>231</v>
      </c>
      <c r="C95" s="201" t="s">
        <v>324</v>
      </c>
      <c r="D95" s="202"/>
      <c r="E95" s="203" t="s">
        <v>321</v>
      </c>
      <c r="F95" s="201"/>
      <c r="G95" s="206" t="s">
        <v>176</v>
      </c>
      <c r="H95" s="207"/>
      <c r="I95" s="207"/>
      <c r="J95" s="207"/>
    </row>
    <row r="96" spans="1:11" ht="23.25" outlineLevel="2" thickBot="1" x14ac:dyDescent="0.3">
      <c r="A96" s="135"/>
      <c r="B96" s="255" t="s">
        <v>318</v>
      </c>
      <c r="C96" s="236" t="s">
        <v>322</v>
      </c>
      <c r="D96" s="237"/>
      <c r="E96" s="238" t="s">
        <v>323</v>
      </c>
      <c r="F96" s="276"/>
      <c r="G96" s="206" t="s">
        <v>176</v>
      </c>
      <c r="H96" s="239"/>
      <c r="I96" s="239"/>
      <c r="J96" s="239"/>
    </row>
    <row r="97" spans="2:2" x14ac:dyDescent="0.25">
      <c r="B97" s="138"/>
    </row>
  </sheetData>
  <sortState xmlns:xlrd2="http://schemas.microsoft.com/office/spreadsheetml/2017/richdata2" ref="B43:J63">
    <sortCondition ref="E59:E62"/>
  </sortState>
  <mergeCells count="1">
    <mergeCell ref="A1:A2"/>
  </mergeCells>
  <phoneticPr fontId="12" type="noConversion"/>
  <hyperlinks>
    <hyperlink ref="B3" r:id="rId1" xr:uid="{C602C28F-BD7F-47B0-9A93-F1363348980A}"/>
    <hyperlink ref="B6" r:id="rId2" xr:uid="{4B4ACD7D-3F3D-4799-B63E-5E17977DC28E}"/>
    <hyperlink ref="B10" r:id="rId3" xr:uid="{57C4CD61-2B0B-4A9C-B817-D5D6C84145A8}"/>
    <hyperlink ref="B15" r:id="rId4" xr:uid="{B1327B0D-6B2E-4997-8A0F-1A9BF6474F23}"/>
    <hyperlink ref="B23" r:id="rId5" xr:uid="{C48871DA-A04A-4B84-9994-9F1E577C2686}"/>
    <hyperlink ref="B38" r:id="rId6" xr:uid="{20F4103D-9404-4604-A782-7206F2B37098}"/>
    <hyperlink ref="B41" r:id="rId7" xr:uid="{1DF40E6F-F5A7-4249-9C8D-5763AD9504AE}"/>
    <hyperlink ref="B43" r:id="rId8" xr:uid="{6BAF733F-5C57-4733-9D34-BB0A25660DB4}"/>
    <hyperlink ref="B45" r:id="rId9" xr:uid="{3DE0C10F-FF5A-4E65-B82B-6C1F55CB6624}"/>
    <hyperlink ref="B48" r:id="rId10" xr:uid="{95A12BFD-2BDF-42FE-870B-FE612A99CDD7}"/>
    <hyperlink ref="B64" r:id="rId11" xr:uid="{D149CFFE-0008-4178-A24A-F7333464F810}"/>
    <hyperlink ref="B84" r:id="rId12" xr:uid="{F4122C5B-5F76-4380-AFA7-977D5496307D}"/>
    <hyperlink ref="B24" r:id="rId13" xr:uid="{700478D2-6111-47D9-A91B-FC8D8BA7B3C6}"/>
    <hyperlink ref="B25" r:id="rId14" xr:uid="{A8A1E1F6-CD13-4C4B-9CFA-B1C9EBF8CFA8}"/>
    <hyperlink ref="B26" r:id="rId15" xr:uid="{0B598211-D42E-4C3E-8C92-0C00C58033E6}"/>
    <hyperlink ref="B42" r:id="rId16" xr:uid="{A400E4DA-71C7-43A4-9C88-7DF5023CB5D6}"/>
    <hyperlink ref="B49" r:id="rId17" xr:uid="{517EA364-4E15-4E3A-9BD9-605495D73981}"/>
    <hyperlink ref="B50" r:id="rId18" xr:uid="{BF92A3FF-85FB-4E32-A68D-BAD8A5DC7CD6}"/>
    <hyperlink ref="B51" r:id="rId19" xr:uid="{F78EA759-24F0-4FE3-88C9-DD8F3B12D60A}"/>
    <hyperlink ref="B52" r:id="rId20" xr:uid="{81D1860F-9943-483E-B153-500342F5EE72}"/>
    <hyperlink ref="B53" r:id="rId21" xr:uid="{E43E58E1-3977-4EB9-A0B0-F749D162AC74}"/>
    <hyperlink ref="B54" r:id="rId22" xr:uid="{7498A88E-FC54-4E40-B928-73C096691186}"/>
    <hyperlink ref="B65" r:id="rId23" xr:uid="{5270B878-4271-44EC-9A79-8BDBC53420F0}"/>
    <hyperlink ref="B66" r:id="rId24" xr:uid="{9F6AADAD-D1F4-4520-A23A-3D798FCEE04A}"/>
    <hyperlink ref="B67" r:id="rId25" xr:uid="{F301B5B4-6E3B-4208-B556-8DF4872D8226}"/>
    <hyperlink ref="B85" r:id="rId26" xr:uid="{6DBB3538-F12C-4BC3-9964-C20D5879D6B4}"/>
    <hyperlink ref="B86" r:id="rId27" xr:uid="{674B1D9E-D591-415C-9DBD-FB9CFB964940}"/>
    <hyperlink ref="B87" r:id="rId28" xr:uid="{7FB5FD4E-206B-423F-96A6-017205104313}"/>
    <hyperlink ref="B88" r:id="rId29" xr:uid="{1340D720-D9E5-44E8-A627-C135F463077A}"/>
    <hyperlink ref="B27" r:id="rId30" xr:uid="{33FCED3A-804E-46AD-BC1A-AF5E229BA271}"/>
    <hyperlink ref="B28" r:id="rId31" xr:uid="{98319670-9887-4ED2-AFBB-FCC398AF2C4C}"/>
    <hyperlink ref="B29" r:id="rId32" xr:uid="{92773855-727E-420E-9C8D-F1DA4D392E55}"/>
    <hyperlink ref="B7" r:id="rId33" xr:uid="{F62C3127-0B5A-4B57-8A65-B2C37FDFD4D8}"/>
    <hyperlink ref="B8" r:id="rId34" xr:uid="{E4BF9974-5738-4B9D-8357-2ABEDFEC4790}"/>
    <hyperlink ref="B11" r:id="rId35" xr:uid="{114A3BDB-DC7F-4187-97D0-DE6E76A15BD5}"/>
    <hyperlink ref="B12" r:id="rId36" xr:uid="{3C0FE0FA-CC93-44F0-B83F-84CCE720E98F}"/>
    <hyperlink ref="B13" r:id="rId37" xr:uid="{12E3E2B2-954E-4688-8F5A-E24034A1E14A}"/>
    <hyperlink ref="B16" r:id="rId38" xr:uid="{DCF3E84C-B4BA-41CA-936B-F09544EA5602}"/>
    <hyperlink ref="B17" r:id="rId39" xr:uid="{99B5A4B3-B90D-49DD-92EF-5E508A97CA39}"/>
    <hyperlink ref="B18" r:id="rId40" xr:uid="{856CF33A-F49A-4CB5-A2F1-35885E6159EB}"/>
    <hyperlink ref="B55" r:id="rId41" xr:uid="{35990A61-E564-4F7A-A5E3-F6CA254916B3}"/>
    <hyperlink ref="B56" r:id="rId42" xr:uid="{8D26A6B4-0C13-40DE-B45B-10235A672824}"/>
    <hyperlink ref="B90" r:id="rId43" xr:uid="{56337BAD-C1CD-411B-9A5E-837DEC9626ED}"/>
    <hyperlink ref="B75" r:id="rId44" xr:uid="{E50D1D1B-820F-46F3-AD08-A9F1852FAB72}"/>
    <hyperlink ref="B78" r:id="rId45" xr:uid="{63960022-80DA-4B35-8797-B2F0A615E117}"/>
    <hyperlink ref="B91" r:id="rId46" xr:uid="{6102D6B1-8B1C-4E92-9E7E-10EBCC65B5F5}"/>
    <hyperlink ref="B4" r:id="rId47" xr:uid="{5333086A-5019-4316-B705-D7CEA36B6B9F}"/>
    <hyperlink ref="B58" r:id="rId48" display="010.TURL11" xr:uid="{1A44F720-6CFF-414C-ABCF-1B5C41C96A28}"/>
    <hyperlink ref="B76" r:id="rId49" xr:uid="{2DF4A01F-A6B8-4C05-ABB1-28B5F1EF2DA0}"/>
    <hyperlink ref="B77" r:id="rId50" xr:uid="{A53AC76D-54E2-4BD8-B594-29ADF5E2027B}"/>
    <hyperlink ref="B30" r:id="rId51" display="006.X10" xr:uid="{D0FB1E82-01A1-472F-9E38-3B39A7070750}"/>
    <hyperlink ref="B79" r:id="rId52" xr:uid="{D238A67A-6464-47C8-86A0-8B709EE430AE}"/>
    <hyperlink ref="B80" r:id="rId53" xr:uid="{816F8656-5CB5-41E8-BA04-C5CA2F189A00}"/>
    <hyperlink ref="B74" r:id="rId54" xr:uid="{442B146D-09B4-47D6-881C-BCDB8E39286D}"/>
    <hyperlink ref="B81" r:id="rId55" xr:uid="{08E45BED-4FB6-48B4-A47B-69BE9E27E484}"/>
    <hyperlink ref="B57" r:id="rId56" xr:uid="{2044A362-56CD-4D05-9103-5BFA966C1D45}"/>
    <hyperlink ref="B92" r:id="rId57" xr:uid="{652F9048-483A-4068-B9EA-3EE960147E77}"/>
    <hyperlink ref="B93" r:id="rId58" xr:uid="{23638EF0-53E0-434B-8923-8D1A5D701005}"/>
    <hyperlink ref="B94" r:id="rId59" xr:uid="{21DC11A3-CD0A-4B43-A511-B553F35BDC4A}"/>
    <hyperlink ref="B95" r:id="rId60" xr:uid="{86C50543-A63D-424B-86D3-F194BEB70A58}"/>
    <hyperlink ref="B96" r:id="rId61" xr:uid="{23D959B2-1BBC-4E2B-BA6A-853451AC3957}"/>
  </hyperlinks>
  <pageMargins left="0.23622047244094491" right="0.47244094488188981" top="0.57999999999999996" bottom="0.19685039370078741" header="0.2" footer="0.31496062992125984"/>
  <pageSetup scale="34" orientation="landscape" horizontalDpi="300" verticalDpi="300" r:id="rId62"/>
  <headerFooter>
    <oddHeader>&amp;C&amp;"B Titr,Bold"&amp;20کلیم های شناسایی شده مترو خط 10</oddHeader>
  </headerFooter>
  <rowBreaks count="2" manualBreakCount="2">
    <brk id="38" max="8" man="1"/>
    <brk id="61" max="8" man="1"/>
  </rowBreaks>
  <tableParts count="1">
    <tablePart r:id="rId6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DCC8-7890-41C2-AD73-60FFE1D75736}">
  <sheetPr>
    <outlinePr summaryBelow="0"/>
  </sheetPr>
  <dimension ref="A1:L31"/>
  <sheetViews>
    <sheetView rightToLeft="1" view="pageBreakPreview" topLeftCell="A21" zoomScale="30" zoomScaleNormal="100" zoomScaleSheetLayoutView="30" workbookViewId="0">
      <selection activeCell="B18" sqref="B18"/>
    </sheetView>
  </sheetViews>
  <sheetFormatPr defaultRowHeight="45" outlineLevelRow="2" x14ac:dyDescent="0.25"/>
  <cols>
    <col min="1" max="1" width="4.85546875" style="143" customWidth="1"/>
    <col min="2" max="2" width="41.28515625" style="169" bestFit="1" customWidth="1"/>
    <col min="3" max="3" width="67.140625" style="166" customWidth="1"/>
    <col min="4" max="4" width="79.7109375" style="166" customWidth="1"/>
    <col min="5" max="5" width="255.5703125" style="167" customWidth="1"/>
    <col min="6" max="6" width="23.140625" style="167" customWidth="1"/>
    <col min="7" max="7" width="62.7109375" style="168" bestFit="1" customWidth="1"/>
    <col min="8" max="9" width="83.28515625" style="168" customWidth="1"/>
    <col min="10" max="10" width="37.7109375" style="142" customWidth="1"/>
    <col min="11" max="11" width="20.5703125" style="142" bestFit="1" customWidth="1"/>
    <col min="12" max="12" width="16.140625" style="142" bestFit="1" customWidth="1"/>
    <col min="13" max="16384" width="9.140625" style="142"/>
  </cols>
  <sheetData>
    <row r="1" spans="1:12" s="140" customFormat="1" ht="111.75" thickBot="1" x14ac:dyDescent="0.3">
      <c r="A1" s="262"/>
      <c r="B1" s="264" t="s">
        <v>134</v>
      </c>
      <c r="C1" s="266" t="s">
        <v>36</v>
      </c>
      <c r="D1" s="266" t="s">
        <v>284</v>
      </c>
      <c r="E1" s="264" t="s">
        <v>90</v>
      </c>
      <c r="F1" s="266" t="s">
        <v>15</v>
      </c>
      <c r="G1" s="139" t="s">
        <v>280</v>
      </c>
      <c r="H1" s="139" t="s">
        <v>281</v>
      </c>
      <c r="I1" s="139" t="s">
        <v>302</v>
      </c>
    </row>
    <row r="2" spans="1:12" s="140" customFormat="1" ht="45.75" outlineLevel="1" thickBot="1" x14ac:dyDescent="0.3">
      <c r="A2" s="263"/>
      <c r="B2" s="265"/>
      <c r="C2" s="267"/>
      <c r="D2" s="267"/>
      <c r="E2" s="265"/>
      <c r="F2" s="267"/>
      <c r="G2" s="141">
        <f>SUM(G3:G30)</f>
        <v>5912017713923.4561</v>
      </c>
      <c r="H2" s="141">
        <f>SUM(H3:H30)</f>
        <v>758257989741.19995</v>
      </c>
      <c r="I2" s="141">
        <f>SUM(I3:I30)</f>
        <v>28400087092584.602</v>
      </c>
      <c r="J2" s="142"/>
      <c r="K2" s="142"/>
      <c r="L2" s="142"/>
    </row>
    <row r="3" spans="1:12" s="140" customFormat="1" ht="56.25" outlineLevel="1" thickBot="1" x14ac:dyDescent="0.3">
      <c r="A3" s="143"/>
      <c r="B3" s="232" t="s">
        <v>113</v>
      </c>
      <c r="C3" s="144" t="s">
        <v>30</v>
      </c>
      <c r="D3" s="225"/>
      <c r="E3" s="145"/>
      <c r="F3" s="146"/>
      <c r="G3" s="147"/>
      <c r="H3" s="147"/>
      <c r="I3" s="147"/>
      <c r="J3" s="142"/>
      <c r="K3" s="142"/>
      <c r="L3" s="142"/>
    </row>
    <row r="4" spans="1:12" s="140" customFormat="1" ht="45.75" outlineLevel="2" thickBot="1" x14ac:dyDescent="0.3">
      <c r="A4" s="143"/>
      <c r="B4" s="233" t="s">
        <v>111</v>
      </c>
      <c r="C4" s="148" t="s">
        <v>53</v>
      </c>
      <c r="D4" s="226"/>
      <c r="E4" s="149" t="s">
        <v>282</v>
      </c>
      <c r="F4" s="150"/>
      <c r="G4" s="151"/>
      <c r="H4" s="151"/>
      <c r="I4" s="151">
        <f>H4</f>
        <v>0</v>
      </c>
      <c r="J4" s="142"/>
      <c r="K4" s="142"/>
      <c r="L4" s="142"/>
    </row>
    <row r="5" spans="1:12" s="140" customFormat="1" ht="56.25" outlineLevel="1" thickBot="1" x14ac:dyDescent="0.3">
      <c r="A5" s="143"/>
      <c r="B5" s="232" t="s">
        <v>116</v>
      </c>
      <c r="C5" s="144" t="s">
        <v>31</v>
      </c>
      <c r="D5" s="225"/>
      <c r="E5" s="152"/>
      <c r="F5" s="153"/>
      <c r="G5" s="147"/>
      <c r="H5" s="147"/>
      <c r="I5" s="147"/>
      <c r="J5" s="142"/>
      <c r="K5" s="142"/>
      <c r="L5" s="142"/>
    </row>
    <row r="6" spans="1:12" s="140" customFormat="1" ht="135.75" outlineLevel="2" thickBot="1" x14ac:dyDescent="0.3">
      <c r="A6" s="143"/>
      <c r="B6" s="234" t="s">
        <v>115</v>
      </c>
      <c r="C6" s="154" t="s">
        <v>192</v>
      </c>
      <c r="D6" s="227" t="s">
        <v>286</v>
      </c>
      <c r="E6" s="155" t="s">
        <v>274</v>
      </c>
      <c r="F6" s="156" t="s">
        <v>176</v>
      </c>
      <c r="G6" s="157">
        <v>134402080225</v>
      </c>
      <c r="H6" s="157">
        <f>G6*0.7</f>
        <v>94081456157.5</v>
      </c>
      <c r="I6" s="157">
        <v>134402080225</v>
      </c>
      <c r="J6" s="142"/>
      <c r="K6" s="142"/>
      <c r="L6" s="142"/>
    </row>
    <row r="7" spans="1:12" s="140" customFormat="1" ht="56.25" outlineLevel="1" thickBot="1" x14ac:dyDescent="0.3">
      <c r="A7" s="143"/>
      <c r="B7" s="232" t="s">
        <v>117</v>
      </c>
      <c r="C7" s="144" t="s">
        <v>193</v>
      </c>
      <c r="D7" s="225"/>
      <c r="E7" s="152"/>
      <c r="F7" s="153"/>
      <c r="G7" s="147"/>
      <c r="H7" s="147"/>
      <c r="I7" s="147"/>
      <c r="J7" s="142"/>
      <c r="K7" s="142"/>
      <c r="L7" s="142"/>
    </row>
    <row r="8" spans="1:12" ht="90" outlineLevel="2" x14ac:dyDescent="0.25">
      <c r="B8" s="234" t="s">
        <v>150</v>
      </c>
      <c r="C8" s="158" t="s">
        <v>39</v>
      </c>
      <c r="D8" s="227" t="s">
        <v>286</v>
      </c>
      <c r="E8" s="155" t="s">
        <v>234</v>
      </c>
      <c r="F8" s="156" t="s">
        <v>176</v>
      </c>
      <c r="G8" s="157">
        <f>35779531251*1.3</f>
        <v>46513390626.300003</v>
      </c>
      <c r="H8" s="157">
        <v>46513390626.300003</v>
      </c>
      <c r="I8" s="157">
        <f>H8</f>
        <v>46513390626.300003</v>
      </c>
    </row>
    <row r="9" spans="1:12" ht="45.75" outlineLevel="2" thickBot="1" x14ac:dyDescent="0.3">
      <c r="B9" s="234" t="s">
        <v>151</v>
      </c>
      <c r="C9" s="158" t="s">
        <v>239</v>
      </c>
      <c r="D9" s="228"/>
      <c r="E9" s="155" t="s">
        <v>240</v>
      </c>
      <c r="F9" s="156" t="s">
        <v>176</v>
      </c>
      <c r="G9" s="157">
        <v>107200000000</v>
      </c>
      <c r="H9" s="157">
        <v>107200000000</v>
      </c>
      <c r="I9" s="157">
        <f>H9</f>
        <v>107200000000</v>
      </c>
    </row>
    <row r="10" spans="1:12" ht="56.25" outlineLevel="1" thickBot="1" x14ac:dyDescent="0.3">
      <c r="B10" s="232" t="s">
        <v>118</v>
      </c>
      <c r="C10" s="144" t="s">
        <v>33</v>
      </c>
      <c r="D10" s="225"/>
      <c r="E10" s="152"/>
      <c r="F10" s="153"/>
      <c r="G10" s="147"/>
      <c r="H10" s="147"/>
      <c r="I10" s="147"/>
    </row>
    <row r="11" spans="1:12" ht="270" outlineLevel="2" x14ac:dyDescent="0.25">
      <c r="B11" s="234" t="s">
        <v>147</v>
      </c>
      <c r="C11" s="227" t="s">
        <v>140</v>
      </c>
      <c r="D11" s="227" t="s">
        <v>285</v>
      </c>
      <c r="E11" s="159" t="s">
        <v>245</v>
      </c>
      <c r="F11" s="160" t="s">
        <v>176</v>
      </c>
      <c r="G11" s="161"/>
      <c r="H11" s="161"/>
      <c r="I11" s="161">
        <f t="shared" ref="I11:I16" si="0">H11</f>
        <v>0</v>
      </c>
    </row>
    <row r="12" spans="1:12" ht="270" outlineLevel="2" x14ac:dyDescent="0.25">
      <c r="B12" s="234" t="s">
        <v>148</v>
      </c>
      <c r="C12" s="227" t="s">
        <v>141</v>
      </c>
      <c r="D12" s="227" t="s">
        <v>285</v>
      </c>
      <c r="E12" s="159" t="s">
        <v>245</v>
      </c>
      <c r="F12" s="160" t="s">
        <v>176</v>
      </c>
      <c r="G12" s="161"/>
      <c r="H12" s="161"/>
      <c r="I12" s="161">
        <f t="shared" si="0"/>
        <v>0</v>
      </c>
    </row>
    <row r="13" spans="1:12" outlineLevel="2" x14ac:dyDescent="0.25">
      <c r="B13" s="234" t="s">
        <v>183</v>
      </c>
      <c r="C13" s="154" t="s">
        <v>179</v>
      </c>
      <c r="D13" s="227" t="s">
        <v>287</v>
      </c>
      <c r="E13" s="159" t="s">
        <v>181</v>
      </c>
      <c r="F13" s="160"/>
      <c r="G13" s="161"/>
      <c r="H13" s="161"/>
      <c r="I13" s="161">
        <f t="shared" si="0"/>
        <v>0</v>
      </c>
    </row>
    <row r="14" spans="1:12" ht="135" outlineLevel="2" x14ac:dyDescent="0.25">
      <c r="B14" s="234" t="s">
        <v>184</v>
      </c>
      <c r="C14" s="227" t="s">
        <v>180</v>
      </c>
      <c r="D14" s="227" t="s">
        <v>291</v>
      </c>
      <c r="E14" s="159" t="s">
        <v>275</v>
      </c>
      <c r="F14" s="160" t="s">
        <v>176</v>
      </c>
      <c r="G14" s="161"/>
      <c r="H14" s="161"/>
      <c r="I14" s="161">
        <f t="shared" si="0"/>
        <v>0</v>
      </c>
    </row>
    <row r="15" spans="1:12" ht="90" outlineLevel="2" x14ac:dyDescent="0.25">
      <c r="B15" s="234" t="s">
        <v>236</v>
      </c>
      <c r="C15" s="154" t="s">
        <v>237</v>
      </c>
      <c r="D15" s="228"/>
      <c r="E15" s="155" t="s">
        <v>238</v>
      </c>
      <c r="F15" s="156" t="s">
        <v>176</v>
      </c>
      <c r="G15" s="157">
        <v>35000000000</v>
      </c>
      <c r="H15" s="157">
        <v>35000000000</v>
      </c>
      <c r="I15" s="157">
        <f t="shared" si="0"/>
        <v>35000000000</v>
      </c>
    </row>
    <row r="16" spans="1:12" ht="90.75" outlineLevel="2" thickBot="1" x14ac:dyDescent="0.3">
      <c r="B16" s="235"/>
      <c r="C16" s="162" t="s">
        <v>277</v>
      </c>
      <c r="D16" s="229"/>
      <c r="E16" s="155" t="s">
        <v>278</v>
      </c>
      <c r="F16" s="160"/>
      <c r="G16" s="161"/>
      <c r="H16" s="161"/>
      <c r="I16" s="161">
        <f t="shared" si="0"/>
        <v>0</v>
      </c>
    </row>
    <row r="17" spans="1:12" s="140" customFormat="1" ht="56.25" outlineLevel="1" thickBot="1" x14ac:dyDescent="0.3">
      <c r="A17" s="143"/>
      <c r="B17" s="232" t="s">
        <v>137</v>
      </c>
      <c r="C17" s="144" t="s">
        <v>138</v>
      </c>
      <c r="D17" s="225"/>
      <c r="E17" s="152"/>
      <c r="F17" s="153"/>
      <c r="G17" s="147"/>
      <c r="H17" s="147"/>
      <c r="I17" s="147"/>
      <c r="J17" s="142"/>
      <c r="K17" s="142"/>
      <c r="L17" s="142"/>
    </row>
    <row r="18" spans="1:12" s="140" customFormat="1" ht="90.75" outlineLevel="2" thickBot="1" x14ac:dyDescent="0.3">
      <c r="A18" s="143"/>
      <c r="B18" s="234" t="s">
        <v>156</v>
      </c>
      <c r="C18" s="158" t="s">
        <v>139</v>
      </c>
      <c r="D18" s="227" t="s">
        <v>286</v>
      </c>
      <c r="E18" s="155" t="s">
        <v>233</v>
      </c>
      <c r="F18" s="156" t="s">
        <v>176</v>
      </c>
      <c r="G18" s="157">
        <f>953385000*1.3</f>
        <v>1239400500</v>
      </c>
      <c r="H18" s="157">
        <f>G18</f>
        <v>1239400500</v>
      </c>
      <c r="I18" s="157">
        <f>H18</f>
        <v>1239400500</v>
      </c>
      <c r="J18" s="142"/>
      <c r="K18" s="142"/>
      <c r="L18" s="142"/>
    </row>
    <row r="19" spans="1:12" s="140" customFormat="1" ht="56.25" outlineLevel="1" thickBot="1" x14ac:dyDescent="0.3">
      <c r="A19" s="143"/>
      <c r="B19" s="232" t="s">
        <v>123</v>
      </c>
      <c r="C19" s="144" t="s">
        <v>40</v>
      </c>
      <c r="D19" s="225"/>
      <c r="E19" s="152"/>
      <c r="F19" s="153"/>
      <c r="G19" s="147"/>
      <c r="H19" s="147"/>
      <c r="I19" s="147"/>
      <c r="J19" s="142"/>
      <c r="K19" s="142"/>
      <c r="L19" s="142"/>
    </row>
    <row r="20" spans="1:12" s="140" customFormat="1" ht="360" outlineLevel="2" x14ac:dyDescent="0.25">
      <c r="A20" s="143"/>
      <c r="B20" s="233" t="s">
        <v>158</v>
      </c>
      <c r="C20" s="227" t="s">
        <v>128</v>
      </c>
      <c r="D20" s="230" t="s">
        <v>288</v>
      </c>
      <c r="E20" s="163" t="s">
        <v>267</v>
      </c>
      <c r="F20" s="150" t="s">
        <v>176</v>
      </c>
      <c r="G20" s="151">
        <f>(189284772+402438295+188275870+2006147434)*1.3</f>
        <v>3621990282.3000002</v>
      </c>
      <c r="H20" s="151"/>
      <c r="I20" s="151">
        <v>3621990282.3000002</v>
      </c>
      <c r="J20" s="142"/>
      <c r="K20" s="142"/>
      <c r="L20" s="142"/>
    </row>
    <row r="21" spans="1:12" s="140" customFormat="1" ht="360" outlineLevel="2" x14ac:dyDescent="0.25">
      <c r="A21" s="143"/>
      <c r="B21" s="234" t="s">
        <v>159</v>
      </c>
      <c r="C21" s="227" t="s">
        <v>269</v>
      </c>
      <c r="D21" s="230" t="s">
        <v>289</v>
      </c>
      <c r="E21" s="155" t="s">
        <v>317</v>
      </c>
      <c r="F21" s="160" t="s">
        <v>176</v>
      </c>
      <c r="G21" s="161">
        <f>735415334655.456</f>
        <v>735415334655.45605</v>
      </c>
      <c r="H21" s="161">
        <v>177653825323</v>
      </c>
      <c r="I21" s="161">
        <f>7265308780621-2800961355729</f>
        <v>4464347424892</v>
      </c>
      <c r="J21" s="142"/>
      <c r="K21" s="142"/>
      <c r="L21" s="142"/>
    </row>
    <row r="22" spans="1:12" s="140" customFormat="1" ht="409.5" outlineLevel="2" x14ac:dyDescent="0.25">
      <c r="A22" s="143"/>
      <c r="B22" s="234" t="s">
        <v>160</v>
      </c>
      <c r="C22" s="227" t="s">
        <v>136</v>
      </c>
      <c r="D22" s="227" t="s">
        <v>290</v>
      </c>
      <c r="E22" s="155" t="s">
        <v>268</v>
      </c>
      <c r="F22" s="160" t="s">
        <v>176</v>
      </c>
      <c r="G22" s="161">
        <v>4400000000000</v>
      </c>
      <c r="H22" s="161"/>
      <c r="I22" s="161">
        <v>23000000000000</v>
      </c>
      <c r="J22" s="142"/>
      <c r="K22" s="142"/>
      <c r="L22" s="142"/>
    </row>
    <row r="23" spans="1:12" s="140" customFormat="1" ht="90" outlineLevel="2" x14ac:dyDescent="0.25">
      <c r="A23" s="143"/>
      <c r="B23" s="234" t="s">
        <v>169</v>
      </c>
      <c r="C23" s="154" t="s">
        <v>270</v>
      </c>
      <c r="D23" s="228"/>
      <c r="E23" s="155" t="s">
        <v>283</v>
      </c>
      <c r="F23" s="156" t="s">
        <v>176</v>
      </c>
      <c r="G23" s="157">
        <v>296569917134.39996</v>
      </c>
      <c r="H23" s="157">
        <v>296569917134.39996</v>
      </c>
      <c r="I23" s="157">
        <v>605707205559</v>
      </c>
      <c r="J23" s="142"/>
      <c r="K23" s="142"/>
      <c r="L23" s="142"/>
    </row>
    <row r="24" spans="1:12" s="140" customFormat="1" ht="225" outlineLevel="2" x14ac:dyDescent="0.25">
      <c r="A24" s="143"/>
      <c r="B24" s="234" t="s">
        <v>195</v>
      </c>
      <c r="C24" s="227" t="s">
        <v>194</v>
      </c>
      <c r="D24" s="227" t="s">
        <v>291</v>
      </c>
      <c r="E24" s="155" t="s">
        <v>272</v>
      </c>
      <c r="F24" s="160" t="s">
        <v>176</v>
      </c>
      <c r="G24" s="161">
        <v>2055600500</v>
      </c>
      <c r="H24" s="161"/>
      <c r="I24" s="161">
        <v>2055600500</v>
      </c>
      <c r="J24" s="142"/>
      <c r="K24" s="142"/>
      <c r="L24" s="142"/>
    </row>
    <row r="25" spans="1:12" s="140" customFormat="1" ht="225" outlineLevel="2" x14ac:dyDescent="0.25">
      <c r="A25" s="143"/>
      <c r="B25" s="234" t="s">
        <v>196</v>
      </c>
      <c r="C25" s="227" t="s">
        <v>292</v>
      </c>
      <c r="D25" s="227" t="s">
        <v>293</v>
      </c>
      <c r="E25" s="155" t="s">
        <v>310</v>
      </c>
      <c r="F25" s="160" t="s">
        <v>176</v>
      </c>
      <c r="G25" s="161"/>
      <c r="H25" s="161"/>
      <c r="I25" s="161"/>
      <c r="J25" s="142"/>
      <c r="K25" s="142"/>
      <c r="L25" s="142"/>
    </row>
    <row r="26" spans="1:12" s="140" customFormat="1" ht="135" outlineLevel="2" x14ac:dyDescent="0.25">
      <c r="A26" s="143"/>
      <c r="B26" s="234" t="s">
        <v>197</v>
      </c>
      <c r="C26" s="227" t="s">
        <v>248</v>
      </c>
      <c r="D26" s="227" t="s">
        <v>304</v>
      </c>
      <c r="E26" s="155" t="s">
        <v>273</v>
      </c>
      <c r="F26" s="160" t="s">
        <v>176</v>
      </c>
      <c r="G26" s="161">
        <v>150000000000</v>
      </c>
      <c r="H26" s="161"/>
      <c r="I26" s="161">
        <v>0</v>
      </c>
      <c r="J26" s="142"/>
      <c r="K26" s="142"/>
      <c r="L26" s="142"/>
    </row>
    <row r="27" spans="1:12" s="140" customFormat="1" ht="225" outlineLevel="2" x14ac:dyDescent="0.25">
      <c r="A27" s="143"/>
      <c r="B27" s="234" t="s">
        <v>247</v>
      </c>
      <c r="C27" s="227" t="s">
        <v>220</v>
      </c>
      <c r="D27" s="230" t="s">
        <v>294</v>
      </c>
      <c r="E27" s="155" t="s">
        <v>311</v>
      </c>
      <c r="F27" s="160" t="s">
        <v>176</v>
      </c>
      <c r="G27" s="161"/>
      <c r="H27" s="161"/>
      <c r="I27" s="161">
        <f t="shared" ref="I27" si="1">H27</f>
        <v>0</v>
      </c>
      <c r="J27" s="142"/>
      <c r="K27" s="142"/>
      <c r="L27" s="142"/>
    </row>
    <row r="28" spans="1:12" s="117" customFormat="1" ht="180.75" outlineLevel="2" thickBot="1" x14ac:dyDescent="0.3">
      <c r="A28" s="134"/>
      <c r="B28" s="235" t="s">
        <v>306</v>
      </c>
      <c r="C28" s="154" t="s">
        <v>307</v>
      </c>
      <c r="D28" s="230" t="s">
        <v>308</v>
      </c>
      <c r="E28" s="155" t="s">
        <v>309</v>
      </c>
      <c r="F28" s="195"/>
      <c r="G28" s="196"/>
      <c r="H28" s="161"/>
      <c r="I28" s="1"/>
    </row>
    <row r="29" spans="1:12" ht="56.25" outlineLevel="1" thickBot="1" x14ac:dyDescent="0.3">
      <c r="B29" s="232" t="s">
        <v>125</v>
      </c>
      <c r="C29" s="164" t="s">
        <v>125</v>
      </c>
      <c r="D29" s="231"/>
      <c r="E29" s="152"/>
      <c r="F29" s="153"/>
      <c r="G29" s="147"/>
      <c r="H29" s="147"/>
      <c r="I29" s="147"/>
    </row>
    <row r="30" spans="1:12" ht="135" outlineLevel="2" x14ac:dyDescent="0.25">
      <c r="B30" s="233" t="s">
        <v>144</v>
      </c>
      <c r="C30" s="148" t="s">
        <v>0</v>
      </c>
      <c r="D30" s="227" t="s">
        <v>295</v>
      </c>
      <c r="E30" s="149" t="s">
        <v>279</v>
      </c>
      <c r="F30" s="150"/>
      <c r="G30" s="151"/>
      <c r="H30" s="151"/>
      <c r="I30" s="151"/>
    </row>
    <row r="31" spans="1:12" s="140" customFormat="1" x14ac:dyDescent="0.25">
      <c r="A31" s="143"/>
      <c r="B31" s="165"/>
      <c r="C31" s="166"/>
      <c r="D31" s="166"/>
      <c r="E31" s="167"/>
      <c r="F31" s="167"/>
      <c r="G31" s="168"/>
      <c r="H31" s="168"/>
      <c r="I31" s="168"/>
      <c r="J31" s="142"/>
      <c r="K31" s="142"/>
      <c r="L31" s="142"/>
    </row>
  </sheetData>
  <mergeCells count="6">
    <mergeCell ref="A1:A2"/>
    <mergeCell ref="B1:B2"/>
    <mergeCell ref="C1:C2"/>
    <mergeCell ref="E1:E2"/>
    <mergeCell ref="F1:F2"/>
    <mergeCell ref="D1:D2"/>
  </mergeCells>
  <hyperlinks>
    <hyperlink ref="B3" r:id="rId1" xr:uid="{3889AA6F-2319-4960-8437-25607BA13B9F}"/>
    <hyperlink ref="B5" r:id="rId2" xr:uid="{DC532160-70ED-4A2E-8DCD-A02F28682FBE}"/>
    <hyperlink ref="B7" r:id="rId3" xr:uid="{48B6135B-2CBB-48FE-8D93-1660384C78E1}"/>
    <hyperlink ref="B10" r:id="rId4" xr:uid="{70C7F6A6-D9D9-4793-8659-5890FA2A39FD}"/>
    <hyperlink ref="B17" r:id="rId5" xr:uid="{CCA98B58-8586-4BD1-A295-F1CB332B0165}"/>
    <hyperlink ref="B19" r:id="rId6" xr:uid="{4D87E3F1-9532-47F5-B210-306F1A42710D}"/>
    <hyperlink ref="B29" r:id="rId7" xr:uid="{93C75F65-621E-428D-81D8-3EDEB84B9F60}"/>
    <hyperlink ref="B11" r:id="rId8" xr:uid="{C15883E3-68C2-4801-86A5-FC52E4745FA4}"/>
    <hyperlink ref="B12" r:id="rId9" xr:uid="{7AA07369-B0BF-40C4-B8A9-E206B0F8C0C2}"/>
    <hyperlink ref="B18" r:id="rId10" xr:uid="{40967E60-D9A9-46E7-A9CA-5A7B01BA305E}"/>
    <hyperlink ref="B20" r:id="rId11" xr:uid="{AF2D357F-0DDB-4A9F-BF78-FFF134704763}"/>
    <hyperlink ref="B21" r:id="rId12" xr:uid="{7BCE005F-FA72-4B21-92DB-A9C2E858F4CA}"/>
    <hyperlink ref="B22" r:id="rId13" xr:uid="{5855EBD5-A2AF-4B9F-8DA6-AA0CF9CC7F3E}"/>
    <hyperlink ref="B23" r:id="rId14" xr:uid="{4758293D-7FB0-4DF2-87A0-735D837916AA}"/>
    <hyperlink ref="B30" r:id="rId15" xr:uid="{B9389E57-6D75-4236-9C1B-8AC9DD93C1C2}"/>
    <hyperlink ref="B13" r:id="rId16" xr:uid="{0FBA4885-39B0-435A-9F26-E711B88FDD85}"/>
    <hyperlink ref="B14" r:id="rId17" xr:uid="{060FCCBB-6C50-4926-9D32-A5872B1F38A2}"/>
    <hyperlink ref="B4" r:id="rId18" xr:uid="{C3FD32F9-E868-4E3B-962D-89F3122C197B}"/>
    <hyperlink ref="B6" r:id="rId19" xr:uid="{C4395F9B-F2FC-4069-8436-060ED18F1562}"/>
    <hyperlink ref="B8" r:id="rId20" xr:uid="{B86F2528-E077-4389-9F6D-52241A3CF249}"/>
    <hyperlink ref="B9" r:id="rId21" xr:uid="{DEE1D9E0-8452-4C20-B5F7-ED7DA4005D17}"/>
    <hyperlink ref="B24" r:id="rId22" xr:uid="{451E15F1-6C78-44B9-84B4-D086BE915FBC}"/>
    <hyperlink ref="B25" r:id="rId23" xr:uid="{FD7B3E53-D338-454B-946E-9869AF264BF5}"/>
    <hyperlink ref="B27" r:id="rId24" display="010.TURL11" xr:uid="{21AD06CB-8C77-4929-A590-F465DCA34F48}"/>
    <hyperlink ref="B15" r:id="rId25" display="006.X10" xr:uid="{58B0328E-C961-4A65-B412-7952DFD51BEC}"/>
    <hyperlink ref="B26" r:id="rId26" xr:uid="{B41BC859-7374-4AAF-B364-31EAF656DF01}"/>
    <hyperlink ref="D6" r:id="rId27" xr:uid="{8222F92D-001F-4AF7-B57B-0C4879865A1E}"/>
    <hyperlink ref="D8" r:id="rId28" xr:uid="{ACFEE01F-B1A6-49EE-A90C-BECB9812EF10}"/>
    <hyperlink ref="D11" r:id="rId29" xr:uid="{1BF7D504-DB74-4EBF-8927-6036669C568B}"/>
    <hyperlink ref="D12" r:id="rId30" xr:uid="{72E6A4DD-93B6-46DA-A46B-2A997B66FB01}"/>
    <hyperlink ref="D13" r:id="rId31" xr:uid="{E16F01EA-EE5F-45A8-AF66-8E029DC2F4F7}"/>
    <hyperlink ref="D14" r:id="rId32" xr:uid="{6267FAC3-0A27-4E7A-9CD6-4A10E8B97078}"/>
    <hyperlink ref="D18" r:id="rId33" xr:uid="{B4A38F86-87BB-4E39-9326-979D7C0C3050}"/>
    <hyperlink ref="D20" r:id="rId34" display="فایلهای لینک شده\بیمه" xr:uid="{79A2BB07-6A27-4F63-832A-C974830410FF}"/>
    <hyperlink ref="D21" r:id="rId35" display="فایلهای لینک شده\حفاری و پی کنی" xr:uid="{A9F63149-D149-4153-90C4-F24018ACA56B}"/>
    <hyperlink ref="D22" r:id="rId36" xr:uid="{68CE3568-9DAA-4D08-9668-E03D33130DCB}"/>
    <hyperlink ref="D24" r:id="rId37" xr:uid="{DFF3617A-8423-4BE4-B57A-173615D81040}"/>
    <hyperlink ref="D25" r:id="rId38" xr:uid="{D730A57F-0125-44B6-935C-EAB6CA124741}"/>
    <hyperlink ref="D26" r:id="rId39" xr:uid="{91A76BDC-4C4E-43DF-B096-7C8DFD1383A5}"/>
    <hyperlink ref="D27" r:id="rId40" display="فایلهای لینک شده\فورس ماژور" xr:uid="{9D77ECE1-EACC-419B-82B6-C3081326E517}"/>
    <hyperlink ref="D30" r:id="rId41" xr:uid="{D94B82B5-F18C-4738-B9B6-1958561310A0}"/>
    <hyperlink ref="D28" r:id="rId42" display="فایلهای لینک شده\تبصره 80 و عدم پاسخگویی تعدیل" xr:uid="{D1CA8046-73AC-4B4D-A6BA-060AC243AAE9}"/>
    <hyperlink ref="C11" r:id="rId43" xr:uid="{A2F7CA84-9033-4325-960B-956BBD2098DB}"/>
    <hyperlink ref="C12" r:id="rId44" xr:uid="{FAEC2314-F400-4FE0-8C8F-0C3466724B9E}"/>
    <hyperlink ref="C14" r:id="rId45" xr:uid="{6455B92C-DD28-4202-8D42-73E86F7369AB}"/>
    <hyperlink ref="C20" r:id="rId46" xr:uid="{1C11B7E2-0D92-42B7-BBF0-30A02E6F7A23}"/>
    <hyperlink ref="C21" r:id="rId47" xr:uid="{2A9DFAF9-7AF8-4A26-BB57-0D19F7980A13}"/>
    <hyperlink ref="C22" r:id="rId48" xr:uid="{1DE9EDE6-A181-4B4D-A739-1B69C3E6560C}"/>
    <hyperlink ref="C24" r:id="rId49" xr:uid="{A633D255-720D-4716-91A3-1A769B1E4064}"/>
    <hyperlink ref="C25" r:id="rId50" xr:uid="{D4DC62F3-C396-40BC-A7DC-8C76938AC1FE}"/>
    <hyperlink ref="C26" r:id="rId51" xr:uid="{BFEDEABB-336D-4103-ABD6-51DC5C86541E}"/>
    <hyperlink ref="C27" r:id="rId52" xr:uid="{05A9D473-5BB6-4FE7-86EE-05B26691EA31}"/>
  </hyperlinks>
  <printOptions horizontalCentered="1"/>
  <pageMargins left="0" right="0" top="0" bottom="0" header="0" footer="0"/>
  <pageSetup scale="18" orientation="landscape" horizontalDpi="300" verticalDpi="300" r:id="rId53"/>
  <headerFooter>
    <oddHeader>&amp;C&amp;"B Titr,Bold"&amp;20کلیم های شناسایی شده مترو خط 10</oddHeader>
  </headerFooter>
  <rowBreaks count="2" manualBreakCount="2">
    <brk id="13" max="8" man="1"/>
    <brk id="22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3EDC-FE21-45F7-A6F5-D7AFB9E2A99C}">
  <sheetPr>
    <outlinePr summaryBelow="0"/>
  </sheetPr>
  <dimension ref="A1:H113"/>
  <sheetViews>
    <sheetView rightToLeft="1" view="pageBreakPreview" topLeftCell="A28" zoomScaleNormal="100" zoomScaleSheetLayoutView="100" workbookViewId="0">
      <selection activeCell="B25" sqref="B25"/>
    </sheetView>
  </sheetViews>
  <sheetFormatPr defaultRowHeight="22.5" outlineLevelRow="2" x14ac:dyDescent="0.25"/>
  <cols>
    <col min="1" max="1" width="3.140625" style="117" customWidth="1"/>
    <col min="2" max="2" width="14.85546875" style="38" bestFit="1" customWidth="1"/>
    <col min="3" max="3" width="50.140625" style="56" customWidth="1"/>
    <col min="4" max="4" width="99.42578125" style="56" customWidth="1"/>
    <col min="5" max="5" width="12.7109375" style="56" bestFit="1" customWidth="1"/>
    <col min="6" max="6" width="22.5703125" style="1" bestFit="1" customWidth="1"/>
    <col min="7" max="7" width="24.42578125" style="1" bestFit="1" customWidth="1"/>
    <col min="8" max="8" width="13.7109375" style="1" customWidth="1"/>
    <col min="9" max="9" width="37.7109375" style="117" customWidth="1"/>
    <col min="10" max="10" width="20.5703125" style="117" bestFit="1" customWidth="1"/>
    <col min="11" max="11" width="16.140625" style="117" bestFit="1" customWidth="1"/>
    <col min="12" max="16384" width="9.140625" style="117"/>
  </cols>
  <sheetData>
    <row r="1" spans="1:7" s="1" customFormat="1" ht="46.5" x14ac:dyDescent="0.25">
      <c r="A1" s="109"/>
      <c r="B1" s="75" t="s">
        <v>134</v>
      </c>
      <c r="C1" s="108" t="s">
        <v>36</v>
      </c>
      <c r="D1" s="75" t="s">
        <v>90</v>
      </c>
      <c r="E1" s="75" t="s">
        <v>15</v>
      </c>
      <c r="F1" s="106" t="s">
        <v>214</v>
      </c>
      <c r="G1" s="106" t="s">
        <v>215</v>
      </c>
    </row>
    <row r="2" spans="1:7" ht="28.5" outlineLevel="1" x14ac:dyDescent="0.25">
      <c r="A2" s="115"/>
      <c r="B2" s="43" t="s">
        <v>112</v>
      </c>
      <c r="C2" s="116" t="s">
        <v>29</v>
      </c>
      <c r="D2" s="55"/>
      <c r="E2" s="55"/>
      <c r="F2" s="100">
        <f>SUM(F3:F113)-F102-F103-F105</f>
        <v>33818698011438.898</v>
      </c>
      <c r="G2" s="100">
        <f>SUM(G3:G113)</f>
        <v>962906921441.81995</v>
      </c>
    </row>
    <row r="3" spans="1:7" ht="45" outlineLevel="2" x14ac:dyDescent="0.25">
      <c r="A3" s="115"/>
      <c r="B3" s="104" t="s">
        <v>213</v>
      </c>
      <c r="C3" s="77" t="s">
        <v>211</v>
      </c>
      <c r="D3" s="46" t="s">
        <v>212</v>
      </c>
      <c r="E3" s="60"/>
      <c r="F3" s="7">
        <f>(374+402)*300000000</f>
        <v>232800000000</v>
      </c>
      <c r="G3" s="7"/>
    </row>
    <row r="4" spans="1:7" ht="30" outlineLevel="2" x14ac:dyDescent="0.25">
      <c r="A4" s="115"/>
      <c r="B4" s="34"/>
      <c r="C4" s="76"/>
      <c r="D4" s="33"/>
      <c r="E4" s="58"/>
      <c r="F4" s="31"/>
      <c r="G4" s="31"/>
    </row>
    <row r="5" spans="1:7" ht="30" outlineLevel="1" x14ac:dyDescent="0.25">
      <c r="A5" s="115"/>
      <c r="B5" s="43" t="s">
        <v>113</v>
      </c>
      <c r="C5" s="116" t="s">
        <v>30</v>
      </c>
      <c r="D5" s="118"/>
      <c r="E5" s="59"/>
      <c r="F5" s="9"/>
      <c r="G5" s="9"/>
    </row>
    <row r="6" spans="1:7" ht="30" outlineLevel="2" x14ac:dyDescent="0.25">
      <c r="A6" s="115"/>
      <c r="B6" s="104" t="s">
        <v>111</v>
      </c>
      <c r="C6" s="77" t="s">
        <v>53</v>
      </c>
      <c r="D6" s="46" t="s">
        <v>108</v>
      </c>
      <c r="E6" s="60"/>
      <c r="F6" s="7"/>
      <c r="G6" s="7"/>
    </row>
    <row r="7" spans="1:7" ht="30" outlineLevel="2" x14ac:dyDescent="0.25">
      <c r="A7" s="115"/>
      <c r="B7" s="104" t="s">
        <v>120</v>
      </c>
      <c r="C7" s="78" t="s">
        <v>1</v>
      </c>
      <c r="D7" s="47" t="s">
        <v>105</v>
      </c>
      <c r="E7" s="61"/>
      <c r="F7" s="40"/>
      <c r="G7" s="40"/>
    </row>
    <row r="8" spans="1:7" ht="30" outlineLevel="2" x14ac:dyDescent="0.25">
      <c r="A8" s="115"/>
      <c r="B8" s="34"/>
      <c r="C8" s="79"/>
      <c r="D8" s="48"/>
      <c r="E8" s="62"/>
      <c r="F8" s="8"/>
      <c r="G8" s="8"/>
    </row>
    <row r="9" spans="1:7" ht="30" outlineLevel="1" x14ac:dyDescent="0.25">
      <c r="A9" s="115"/>
      <c r="B9" s="43" t="s">
        <v>116</v>
      </c>
      <c r="C9" s="116" t="s">
        <v>31</v>
      </c>
      <c r="D9" s="116"/>
      <c r="E9" s="63"/>
      <c r="F9" s="9"/>
      <c r="G9" s="9"/>
    </row>
    <row r="10" spans="1:7" ht="30" outlineLevel="2" x14ac:dyDescent="0.25">
      <c r="A10" s="115"/>
      <c r="B10" s="104" t="s">
        <v>114</v>
      </c>
      <c r="C10" s="77" t="s">
        <v>42</v>
      </c>
      <c r="D10" s="46" t="s">
        <v>106</v>
      </c>
      <c r="E10" s="60"/>
      <c r="F10" s="7"/>
      <c r="G10" s="7"/>
    </row>
    <row r="11" spans="1:7" ht="30" outlineLevel="2" x14ac:dyDescent="0.25">
      <c r="A11" s="115"/>
      <c r="B11" s="104" t="s">
        <v>115</v>
      </c>
      <c r="C11" s="80" t="s">
        <v>192</v>
      </c>
      <c r="D11" s="45" t="s">
        <v>234</v>
      </c>
      <c r="E11" s="57" t="s">
        <v>176</v>
      </c>
      <c r="F11" s="10">
        <v>134402080225.40001</v>
      </c>
      <c r="G11" s="10">
        <v>134402080225.40001</v>
      </c>
    </row>
    <row r="12" spans="1:7" ht="30" outlineLevel="2" x14ac:dyDescent="0.25">
      <c r="A12" s="115"/>
      <c r="B12" s="104" t="s">
        <v>227</v>
      </c>
      <c r="C12" s="82" t="s">
        <v>1</v>
      </c>
      <c r="D12" s="49" t="s">
        <v>105</v>
      </c>
      <c r="E12" s="64"/>
      <c r="F12" s="16"/>
      <c r="G12" s="16"/>
    </row>
    <row r="13" spans="1:7" ht="30" outlineLevel="2" x14ac:dyDescent="0.25">
      <c r="A13" s="115"/>
      <c r="B13" s="34"/>
      <c r="C13" s="79"/>
      <c r="D13" s="50"/>
      <c r="E13" s="65"/>
      <c r="F13" s="8"/>
      <c r="G13" s="8"/>
    </row>
    <row r="14" spans="1:7" ht="30" outlineLevel="1" x14ac:dyDescent="0.25">
      <c r="A14" s="115"/>
      <c r="B14" s="43" t="s">
        <v>117</v>
      </c>
      <c r="C14" s="116" t="s">
        <v>193</v>
      </c>
      <c r="D14" s="116"/>
      <c r="E14" s="63"/>
      <c r="F14" s="9"/>
      <c r="G14" s="9"/>
    </row>
    <row r="15" spans="1:7" ht="30" outlineLevel="2" x14ac:dyDescent="0.25">
      <c r="A15" s="115"/>
      <c r="B15" s="104" t="s">
        <v>149</v>
      </c>
      <c r="C15" s="77" t="s">
        <v>2</v>
      </c>
      <c r="D15" s="46" t="s">
        <v>107</v>
      </c>
      <c r="E15" s="60"/>
      <c r="F15" s="7"/>
      <c r="G15" s="7"/>
    </row>
    <row r="16" spans="1:7" ht="30" outlineLevel="2" x14ac:dyDescent="0.25">
      <c r="A16" s="115"/>
      <c r="B16" s="104" t="s">
        <v>150</v>
      </c>
      <c r="C16" s="83" t="s">
        <v>39</v>
      </c>
      <c r="D16" s="45" t="s">
        <v>234</v>
      </c>
      <c r="E16" s="66" t="s">
        <v>176</v>
      </c>
      <c r="F16" s="13">
        <f>35779531251*1.3</f>
        <v>46513390626.300003</v>
      </c>
      <c r="G16" s="13">
        <v>46513390626.300003</v>
      </c>
    </row>
    <row r="17" spans="1:8" ht="30" outlineLevel="2" x14ac:dyDescent="0.25">
      <c r="A17" s="115"/>
      <c r="B17" s="104" t="s">
        <v>151</v>
      </c>
      <c r="C17" s="81" t="s">
        <v>239</v>
      </c>
      <c r="D17" s="45" t="s">
        <v>240</v>
      </c>
      <c r="E17" s="110" t="s">
        <v>176</v>
      </c>
      <c r="F17" s="99">
        <v>107200000000</v>
      </c>
      <c r="G17" s="99">
        <v>107200000000</v>
      </c>
    </row>
    <row r="18" spans="1:8" ht="30" outlineLevel="2" x14ac:dyDescent="0.25">
      <c r="A18" s="115"/>
      <c r="B18" s="104" t="s">
        <v>152</v>
      </c>
      <c r="C18" s="80"/>
      <c r="D18" s="39"/>
      <c r="E18" s="57"/>
      <c r="F18" s="10"/>
      <c r="G18" s="10"/>
    </row>
    <row r="19" spans="1:8" ht="30" outlineLevel="2" x14ac:dyDescent="0.25">
      <c r="A19" s="115"/>
      <c r="B19" s="104" t="s">
        <v>153</v>
      </c>
      <c r="C19" s="80" t="s">
        <v>4</v>
      </c>
      <c r="D19" s="39" t="s">
        <v>100</v>
      </c>
      <c r="E19" s="57"/>
      <c r="F19" s="10"/>
      <c r="G19" s="10"/>
    </row>
    <row r="20" spans="1:8" ht="30" outlineLevel="2" x14ac:dyDescent="0.25">
      <c r="A20" s="115"/>
      <c r="B20" s="104" t="s">
        <v>154</v>
      </c>
      <c r="C20" s="80" t="s">
        <v>109</v>
      </c>
      <c r="D20" s="39" t="s">
        <v>110</v>
      </c>
      <c r="E20" s="57"/>
      <c r="F20" s="10"/>
      <c r="G20" s="10"/>
    </row>
    <row r="21" spans="1:8" ht="30" outlineLevel="2" x14ac:dyDescent="0.25">
      <c r="A21" s="115"/>
      <c r="B21" s="104" t="s">
        <v>155</v>
      </c>
      <c r="C21" s="80" t="s">
        <v>1</v>
      </c>
      <c r="D21" s="39" t="s">
        <v>105</v>
      </c>
      <c r="E21" s="57"/>
      <c r="F21" s="10"/>
      <c r="G21" s="10"/>
    </row>
    <row r="22" spans="1:8" ht="30" outlineLevel="2" x14ac:dyDescent="0.25">
      <c r="A22" s="115"/>
      <c r="B22" s="34"/>
      <c r="C22" s="79"/>
      <c r="D22" s="48"/>
      <c r="E22" s="62"/>
      <c r="F22" s="8"/>
      <c r="G22" s="8"/>
    </row>
    <row r="23" spans="1:8" ht="30" outlineLevel="1" x14ac:dyDescent="0.25">
      <c r="A23" s="115"/>
      <c r="B23" s="43" t="s">
        <v>118</v>
      </c>
      <c r="C23" s="116" t="s">
        <v>33</v>
      </c>
      <c r="D23" s="116"/>
      <c r="E23" s="63"/>
      <c r="F23" s="9"/>
      <c r="G23" s="9"/>
    </row>
    <row r="24" spans="1:8" ht="112.5" outlineLevel="2" x14ac:dyDescent="0.25">
      <c r="A24" s="115"/>
      <c r="B24" s="44" t="s">
        <v>146</v>
      </c>
      <c r="C24" s="84" t="s">
        <v>129</v>
      </c>
      <c r="D24" s="129" t="s">
        <v>127</v>
      </c>
      <c r="E24" s="130" t="s">
        <v>176</v>
      </c>
      <c r="F24" s="131"/>
      <c r="G24" s="131"/>
    </row>
    <row r="25" spans="1:8" ht="157.5" outlineLevel="2" x14ac:dyDescent="0.25">
      <c r="A25" s="115"/>
      <c r="B25" s="44" t="s">
        <v>147</v>
      </c>
      <c r="C25" s="80" t="s">
        <v>140</v>
      </c>
      <c r="D25" s="39" t="s">
        <v>245</v>
      </c>
      <c r="E25" s="57" t="s">
        <v>176</v>
      </c>
      <c r="F25" s="10"/>
      <c r="G25" s="10"/>
      <c r="H25" s="1" t="s">
        <v>208</v>
      </c>
    </row>
    <row r="26" spans="1:8" ht="157.5" outlineLevel="2" x14ac:dyDescent="0.25">
      <c r="A26" s="115"/>
      <c r="B26" s="44" t="s">
        <v>148</v>
      </c>
      <c r="C26" s="80" t="s">
        <v>141</v>
      </c>
      <c r="D26" s="39" t="s">
        <v>245</v>
      </c>
      <c r="E26" s="57" t="s">
        <v>176</v>
      </c>
      <c r="F26" s="10"/>
      <c r="G26" s="10"/>
    </row>
    <row r="27" spans="1:8" ht="30" outlineLevel="2" x14ac:dyDescent="0.25">
      <c r="A27" s="115"/>
      <c r="B27" s="44" t="s">
        <v>183</v>
      </c>
      <c r="C27" s="80" t="s">
        <v>179</v>
      </c>
      <c r="D27" s="39" t="s">
        <v>181</v>
      </c>
      <c r="E27" s="57"/>
      <c r="F27" s="10"/>
      <c r="G27" s="10"/>
    </row>
    <row r="28" spans="1:8" ht="67.5" outlineLevel="2" x14ac:dyDescent="0.25">
      <c r="A28" s="115"/>
      <c r="B28" s="44" t="s">
        <v>184</v>
      </c>
      <c r="C28" s="80" t="s">
        <v>180</v>
      </c>
      <c r="D28" s="39" t="s">
        <v>228</v>
      </c>
      <c r="E28" s="57" t="s">
        <v>176</v>
      </c>
      <c r="F28" s="10"/>
      <c r="G28" s="10"/>
    </row>
    <row r="29" spans="1:8" ht="30" outlineLevel="2" x14ac:dyDescent="0.25">
      <c r="A29" s="115"/>
      <c r="B29" s="44" t="s">
        <v>185</v>
      </c>
      <c r="C29" s="80" t="s">
        <v>186</v>
      </c>
      <c r="D29" s="39" t="s">
        <v>182</v>
      </c>
      <c r="E29" s="57"/>
      <c r="F29" s="10"/>
      <c r="G29" s="10"/>
    </row>
    <row r="30" spans="1:8" ht="30" outlineLevel="2" x14ac:dyDescent="0.25">
      <c r="A30" s="115"/>
      <c r="B30" s="44" t="s">
        <v>236</v>
      </c>
      <c r="C30" s="80" t="s">
        <v>237</v>
      </c>
      <c r="D30" s="45" t="s">
        <v>238</v>
      </c>
      <c r="E30" s="72" t="s">
        <v>176</v>
      </c>
      <c r="F30" s="99">
        <v>35000000000</v>
      </c>
      <c r="G30" s="99">
        <v>35000000000</v>
      </c>
    </row>
    <row r="31" spans="1:8" ht="45" outlineLevel="2" x14ac:dyDescent="0.25">
      <c r="A31" s="115"/>
      <c r="B31" s="34"/>
      <c r="C31" s="85" t="s">
        <v>5</v>
      </c>
      <c r="D31" s="39" t="s">
        <v>60</v>
      </c>
      <c r="E31" s="57"/>
      <c r="F31" s="10"/>
      <c r="G31" s="10"/>
    </row>
    <row r="32" spans="1:8" ht="30" outlineLevel="2" x14ac:dyDescent="0.25">
      <c r="A32" s="115"/>
      <c r="B32" s="34"/>
      <c r="C32" s="85" t="s">
        <v>6</v>
      </c>
      <c r="D32" s="39" t="s">
        <v>27</v>
      </c>
      <c r="E32" s="57"/>
      <c r="F32" s="10"/>
      <c r="G32" s="10"/>
    </row>
    <row r="33" spans="1:7" ht="30" outlineLevel="2" x14ac:dyDescent="0.25">
      <c r="A33" s="115"/>
      <c r="B33" s="34"/>
      <c r="C33" s="85" t="s">
        <v>7</v>
      </c>
      <c r="D33" s="39" t="s">
        <v>17</v>
      </c>
      <c r="E33" s="57"/>
      <c r="F33" s="10"/>
      <c r="G33" s="10"/>
    </row>
    <row r="34" spans="1:7" ht="30" outlineLevel="2" x14ac:dyDescent="0.25">
      <c r="A34" s="115"/>
      <c r="B34" s="34"/>
      <c r="C34" s="85" t="s">
        <v>8</v>
      </c>
      <c r="D34" s="39" t="s">
        <v>17</v>
      </c>
      <c r="E34" s="57"/>
      <c r="F34" s="10"/>
      <c r="G34" s="10"/>
    </row>
    <row r="35" spans="1:7" ht="30" outlineLevel="2" x14ac:dyDescent="0.25">
      <c r="A35" s="115"/>
      <c r="B35" s="34"/>
      <c r="C35" s="85" t="s">
        <v>1</v>
      </c>
      <c r="D35" s="39" t="s">
        <v>20</v>
      </c>
      <c r="E35" s="57"/>
      <c r="F35" s="10"/>
      <c r="G35" s="10"/>
    </row>
    <row r="36" spans="1:7" ht="30" outlineLevel="2" x14ac:dyDescent="0.25">
      <c r="A36" s="115"/>
      <c r="B36" s="34"/>
      <c r="C36" s="86" t="s">
        <v>25</v>
      </c>
      <c r="D36" s="49" t="s">
        <v>17</v>
      </c>
      <c r="E36" s="64"/>
      <c r="F36" s="16"/>
      <c r="G36" s="16"/>
    </row>
    <row r="37" spans="1:7" ht="30" outlineLevel="2" x14ac:dyDescent="0.25">
      <c r="A37" s="115"/>
      <c r="B37" s="34"/>
      <c r="C37" s="87"/>
      <c r="D37" s="50"/>
      <c r="E37" s="65"/>
      <c r="F37" s="8"/>
      <c r="G37" s="8"/>
    </row>
    <row r="38" spans="1:7" ht="30" outlineLevel="1" x14ac:dyDescent="0.25">
      <c r="A38" s="115"/>
      <c r="B38" s="43" t="s">
        <v>119</v>
      </c>
      <c r="C38" s="116" t="s">
        <v>34</v>
      </c>
      <c r="D38" s="116"/>
      <c r="E38" s="63"/>
      <c r="F38" s="9"/>
      <c r="G38" s="9"/>
    </row>
    <row r="39" spans="1:7" ht="30" outlineLevel="2" x14ac:dyDescent="0.25">
      <c r="A39" s="115"/>
      <c r="B39" s="34"/>
      <c r="C39" s="88" t="s">
        <v>9</v>
      </c>
      <c r="D39" s="46" t="s">
        <v>46</v>
      </c>
      <c r="E39" s="60"/>
      <c r="F39" s="7"/>
      <c r="G39" s="7"/>
    </row>
    <row r="40" spans="1:7" ht="30" outlineLevel="2" x14ac:dyDescent="0.25">
      <c r="A40" s="115"/>
      <c r="B40" s="34"/>
      <c r="C40" s="89"/>
      <c r="D40" s="51"/>
      <c r="E40" s="67"/>
      <c r="F40" s="41"/>
      <c r="G40" s="41"/>
    </row>
    <row r="41" spans="1:7" ht="30" outlineLevel="1" x14ac:dyDescent="0.25">
      <c r="A41" s="115"/>
      <c r="B41" s="43" t="s">
        <v>137</v>
      </c>
      <c r="C41" s="119" t="s">
        <v>138</v>
      </c>
      <c r="D41" s="116"/>
      <c r="E41" s="63"/>
      <c r="F41" s="9"/>
      <c r="G41" s="9"/>
    </row>
    <row r="42" spans="1:7" ht="30" outlineLevel="2" x14ac:dyDescent="0.25">
      <c r="A42" s="115"/>
      <c r="B42" s="44" t="s">
        <v>156</v>
      </c>
      <c r="C42" s="90" t="s">
        <v>139</v>
      </c>
      <c r="D42" s="96" t="s">
        <v>233</v>
      </c>
      <c r="E42" s="97" t="s">
        <v>176</v>
      </c>
      <c r="F42" s="98">
        <f>953385000*1.3</f>
        <v>1239400500</v>
      </c>
      <c r="G42" s="98">
        <f>F42</f>
        <v>1239400500</v>
      </c>
    </row>
    <row r="43" spans="1:7" ht="30" outlineLevel="1" x14ac:dyDescent="0.25">
      <c r="A43" s="115"/>
      <c r="B43" s="43" t="s">
        <v>121</v>
      </c>
      <c r="C43" s="119" t="s">
        <v>45</v>
      </c>
      <c r="D43" s="116"/>
      <c r="E43" s="63"/>
      <c r="F43" s="9"/>
      <c r="G43" s="9"/>
    </row>
    <row r="44" spans="1:7" ht="30" outlineLevel="2" x14ac:dyDescent="0.25">
      <c r="A44" s="115"/>
      <c r="B44" s="44" t="s">
        <v>157</v>
      </c>
      <c r="C44" s="90" t="s">
        <v>143</v>
      </c>
      <c r="D44" s="52" t="s">
        <v>17</v>
      </c>
      <c r="E44" s="68"/>
      <c r="F44" s="11"/>
      <c r="G44" s="11"/>
    </row>
    <row r="45" spans="1:7" ht="30" outlineLevel="1" x14ac:dyDescent="0.25">
      <c r="A45" s="115"/>
      <c r="B45" s="43" t="s">
        <v>122</v>
      </c>
      <c r="C45" s="119" t="s">
        <v>124</v>
      </c>
      <c r="D45" s="116"/>
      <c r="E45" s="63"/>
      <c r="F45" s="9"/>
      <c r="G45" s="9"/>
    </row>
    <row r="46" spans="1:7" ht="30" outlineLevel="2" x14ac:dyDescent="0.25">
      <c r="A46" s="115"/>
      <c r="B46" s="34"/>
      <c r="C46" s="91" t="s">
        <v>98</v>
      </c>
      <c r="D46" s="53" t="s">
        <v>99</v>
      </c>
      <c r="E46" s="69"/>
      <c r="F46" s="32"/>
      <c r="G46" s="32"/>
    </row>
    <row r="47" spans="1:7" ht="45" outlineLevel="2" x14ac:dyDescent="0.25">
      <c r="A47" s="115"/>
      <c r="B47" s="34"/>
      <c r="C47" s="92" t="s">
        <v>64</v>
      </c>
      <c r="D47" s="54" t="s">
        <v>65</v>
      </c>
      <c r="E47" s="70"/>
      <c r="F47" s="31"/>
      <c r="G47" s="31"/>
    </row>
    <row r="48" spans="1:7" ht="30" outlineLevel="1" x14ac:dyDescent="0.25">
      <c r="A48" s="115"/>
      <c r="B48" s="43" t="s">
        <v>123</v>
      </c>
      <c r="C48" s="120" t="s">
        <v>40</v>
      </c>
      <c r="D48" s="116"/>
      <c r="E48" s="63"/>
      <c r="F48" s="9"/>
      <c r="G48" s="9"/>
    </row>
    <row r="49" spans="1:7" ht="112.5" outlineLevel="2" x14ac:dyDescent="0.25">
      <c r="A49" s="115"/>
      <c r="B49" s="44" t="s">
        <v>158</v>
      </c>
      <c r="C49" s="84" t="s">
        <v>128</v>
      </c>
      <c r="D49" s="128" t="s">
        <v>229</v>
      </c>
      <c r="E49" s="71" t="s">
        <v>176</v>
      </c>
      <c r="F49" s="35">
        <v>3000000000</v>
      </c>
      <c r="G49" s="35"/>
    </row>
    <row r="50" spans="1:7" ht="157.5" outlineLevel="2" x14ac:dyDescent="0.25">
      <c r="A50" s="115"/>
      <c r="B50" s="44" t="s">
        <v>159</v>
      </c>
      <c r="C50" s="80" t="s">
        <v>168</v>
      </c>
      <c r="D50" s="39" t="s">
        <v>230</v>
      </c>
      <c r="E50" s="57" t="s">
        <v>176</v>
      </c>
      <c r="F50" s="10">
        <v>5000000000000</v>
      </c>
      <c r="G50" s="10">
        <v>177653825323</v>
      </c>
    </row>
    <row r="51" spans="1:7" ht="202.5" outlineLevel="2" x14ac:dyDescent="0.25">
      <c r="A51" s="115"/>
      <c r="B51" s="44" t="s">
        <v>160</v>
      </c>
      <c r="C51" s="80" t="s">
        <v>136</v>
      </c>
      <c r="D51" s="39" t="s">
        <v>241</v>
      </c>
      <c r="E51" s="57" t="s">
        <v>176</v>
      </c>
      <c r="F51" s="10">
        <v>23000000000000</v>
      </c>
      <c r="G51" s="10"/>
    </row>
    <row r="52" spans="1:7" ht="90" outlineLevel="2" x14ac:dyDescent="0.25">
      <c r="A52" s="115"/>
      <c r="B52" s="44" t="s">
        <v>161</v>
      </c>
      <c r="C52" s="80" t="s">
        <v>142</v>
      </c>
      <c r="D52" s="45" t="s">
        <v>226</v>
      </c>
      <c r="E52" s="72" t="s">
        <v>176</v>
      </c>
      <c r="F52" s="99">
        <v>0</v>
      </c>
      <c r="G52" s="10">
        <v>0</v>
      </c>
    </row>
    <row r="53" spans="1:7" ht="30" outlineLevel="2" x14ac:dyDescent="0.25">
      <c r="A53" s="115"/>
      <c r="B53" s="44" t="s">
        <v>169</v>
      </c>
      <c r="C53" s="80" t="s">
        <v>170</v>
      </c>
      <c r="D53" s="45" t="s">
        <v>171</v>
      </c>
      <c r="E53" s="74" t="s">
        <v>176</v>
      </c>
      <c r="F53" s="105">
        <v>677874096307.19995</v>
      </c>
      <c r="G53" s="99">
        <f>F53/8*3.5</f>
        <v>296569917134.39996</v>
      </c>
    </row>
    <row r="54" spans="1:7" ht="45" outlineLevel="2" x14ac:dyDescent="0.25">
      <c r="A54" s="115"/>
      <c r="B54" s="44" t="s">
        <v>172</v>
      </c>
      <c r="C54" s="80" t="s">
        <v>173</v>
      </c>
      <c r="D54" s="39" t="s">
        <v>174</v>
      </c>
      <c r="E54" s="57" t="s">
        <v>176</v>
      </c>
      <c r="F54" s="10">
        <v>1509226706500</v>
      </c>
      <c r="G54" s="10"/>
    </row>
    <row r="55" spans="1:7" ht="90" outlineLevel="2" x14ac:dyDescent="0.25">
      <c r="A55" s="115"/>
      <c r="B55" s="44" t="s">
        <v>195</v>
      </c>
      <c r="C55" s="80" t="s">
        <v>194</v>
      </c>
      <c r="D55" s="39" t="s">
        <v>235</v>
      </c>
      <c r="E55" s="57" t="s">
        <v>176</v>
      </c>
      <c r="F55" s="10"/>
      <c r="G55" s="10"/>
    </row>
    <row r="56" spans="1:7" ht="67.5" outlineLevel="2" x14ac:dyDescent="0.25">
      <c r="A56" s="115"/>
      <c r="B56" s="44" t="s">
        <v>196</v>
      </c>
      <c r="C56" s="80" t="s">
        <v>202</v>
      </c>
      <c r="D56" s="39" t="s">
        <v>243</v>
      </c>
      <c r="E56" s="57" t="s">
        <v>176</v>
      </c>
      <c r="F56" s="10"/>
      <c r="G56" s="10"/>
    </row>
    <row r="57" spans="1:7" ht="30" outlineLevel="2" x14ac:dyDescent="0.25">
      <c r="A57" s="115"/>
      <c r="B57" s="44" t="s">
        <v>197</v>
      </c>
      <c r="C57" s="80" t="s">
        <v>198</v>
      </c>
      <c r="D57" s="39" t="s">
        <v>199</v>
      </c>
      <c r="E57" s="57"/>
      <c r="F57" s="10"/>
      <c r="G57" s="10"/>
    </row>
    <row r="58" spans="1:7" ht="45" outlineLevel="2" x14ac:dyDescent="0.25">
      <c r="A58" s="115"/>
      <c r="B58" s="44" t="s">
        <v>219</v>
      </c>
      <c r="C58" s="80" t="s">
        <v>220</v>
      </c>
      <c r="D58" s="39" t="s">
        <v>244</v>
      </c>
      <c r="E58" s="57" t="s">
        <v>176</v>
      </c>
      <c r="F58" s="10"/>
      <c r="G58" s="10"/>
    </row>
    <row r="59" spans="1:7" ht="30" outlineLevel="2" x14ac:dyDescent="0.25">
      <c r="A59" s="115"/>
      <c r="B59" s="104"/>
      <c r="C59" s="80" t="s">
        <v>191</v>
      </c>
      <c r="D59" s="101"/>
      <c r="E59" s="102"/>
      <c r="F59" s="103"/>
      <c r="G59" s="10"/>
    </row>
    <row r="60" spans="1:7" ht="45" outlineLevel="2" x14ac:dyDescent="0.25">
      <c r="A60" s="115"/>
      <c r="B60" s="34"/>
      <c r="C60" s="85" t="s">
        <v>44</v>
      </c>
      <c r="D60" s="39" t="s">
        <v>66</v>
      </c>
      <c r="E60" s="57"/>
      <c r="F60" s="10"/>
      <c r="G60" s="10"/>
    </row>
    <row r="61" spans="1:7" ht="45" outlineLevel="2" x14ac:dyDescent="0.25">
      <c r="A61" s="115"/>
      <c r="B61" s="34"/>
      <c r="C61" s="93" t="s">
        <v>102</v>
      </c>
      <c r="D61" s="42" t="s">
        <v>103</v>
      </c>
      <c r="E61" s="66"/>
      <c r="F61" s="13"/>
      <c r="G61" s="13"/>
    </row>
    <row r="62" spans="1:7" ht="45" outlineLevel="2" x14ac:dyDescent="0.25">
      <c r="A62" s="115"/>
      <c r="B62" s="34"/>
      <c r="C62" s="93" t="s">
        <v>104</v>
      </c>
      <c r="D62" s="42" t="s">
        <v>101</v>
      </c>
      <c r="E62" s="66"/>
      <c r="F62" s="13"/>
      <c r="G62" s="13"/>
    </row>
    <row r="63" spans="1:7" ht="30" outlineLevel="2" x14ac:dyDescent="0.25">
      <c r="A63" s="115"/>
      <c r="B63" s="34"/>
      <c r="C63" s="93" t="s">
        <v>98</v>
      </c>
      <c r="D63" s="42" t="s">
        <v>99</v>
      </c>
      <c r="E63" s="66"/>
      <c r="F63" s="13"/>
      <c r="G63" s="13"/>
    </row>
    <row r="64" spans="1:7" ht="45" outlineLevel="2" x14ac:dyDescent="0.25">
      <c r="A64" s="115"/>
      <c r="B64" s="34"/>
      <c r="C64" s="85" t="s">
        <v>76</v>
      </c>
      <c r="D64" s="39" t="s">
        <v>75</v>
      </c>
      <c r="E64" s="57"/>
      <c r="F64" s="10"/>
      <c r="G64" s="10"/>
    </row>
    <row r="65" spans="1:7" ht="45" outlineLevel="2" x14ac:dyDescent="0.25">
      <c r="A65" s="115"/>
      <c r="B65" s="34"/>
      <c r="C65" s="85" t="s">
        <v>70</v>
      </c>
      <c r="D65" s="39" t="s">
        <v>71</v>
      </c>
      <c r="E65" s="57"/>
      <c r="F65" s="10"/>
      <c r="G65" s="10"/>
    </row>
    <row r="66" spans="1:7" ht="30" outlineLevel="2" x14ac:dyDescent="0.25">
      <c r="A66" s="115"/>
      <c r="B66" s="34"/>
      <c r="C66" s="85" t="s">
        <v>43</v>
      </c>
      <c r="D66" s="39" t="s">
        <v>67</v>
      </c>
      <c r="E66" s="57"/>
      <c r="F66" s="10"/>
      <c r="G66" s="10"/>
    </row>
    <row r="67" spans="1:7" ht="30" outlineLevel="2" x14ac:dyDescent="0.25">
      <c r="A67" s="115"/>
      <c r="B67" s="34"/>
      <c r="C67" s="85" t="s">
        <v>41</v>
      </c>
      <c r="D67" s="39" t="s">
        <v>48</v>
      </c>
      <c r="E67" s="57"/>
      <c r="F67" s="10"/>
      <c r="G67" s="10"/>
    </row>
    <row r="68" spans="1:7" ht="45" outlineLevel="2" x14ac:dyDescent="0.25">
      <c r="A68" s="115"/>
      <c r="B68" s="34"/>
      <c r="C68" s="85" t="s">
        <v>68</v>
      </c>
      <c r="D68" s="39" t="s">
        <v>69</v>
      </c>
      <c r="E68" s="57"/>
      <c r="F68" s="10"/>
      <c r="G68" s="10"/>
    </row>
    <row r="69" spans="1:7" ht="30" outlineLevel="2" x14ac:dyDescent="0.25">
      <c r="A69" s="115"/>
      <c r="B69" s="34"/>
      <c r="C69" s="85" t="s">
        <v>4</v>
      </c>
      <c r="D69" s="39" t="s">
        <v>47</v>
      </c>
      <c r="E69" s="57"/>
      <c r="F69" s="10"/>
      <c r="G69" s="10"/>
    </row>
    <row r="70" spans="1:7" ht="45" outlineLevel="2" x14ac:dyDescent="0.25">
      <c r="A70" s="115"/>
      <c r="B70" s="34"/>
      <c r="C70" s="85" t="s">
        <v>49</v>
      </c>
      <c r="D70" s="39" t="s">
        <v>50</v>
      </c>
      <c r="E70" s="57"/>
      <c r="F70" s="10"/>
      <c r="G70" s="10"/>
    </row>
    <row r="71" spans="1:7" ht="45" outlineLevel="2" x14ac:dyDescent="0.25">
      <c r="A71" s="115"/>
      <c r="B71" s="34"/>
      <c r="C71" s="86" t="s">
        <v>54</v>
      </c>
      <c r="D71" s="49" t="s">
        <v>55</v>
      </c>
      <c r="E71" s="64"/>
      <c r="F71" s="16"/>
      <c r="G71" s="16"/>
    </row>
    <row r="72" spans="1:7" ht="30" outlineLevel="2" x14ac:dyDescent="0.25">
      <c r="A72" s="115"/>
      <c r="B72" s="34"/>
      <c r="C72" s="86" t="s">
        <v>61</v>
      </c>
      <c r="D72" s="49" t="s">
        <v>62</v>
      </c>
      <c r="E72" s="64"/>
      <c r="F72" s="16"/>
      <c r="G72" s="16"/>
    </row>
    <row r="73" spans="1:7" ht="30" outlineLevel="2" x14ac:dyDescent="0.25">
      <c r="A73" s="115"/>
      <c r="B73" s="34"/>
      <c r="C73" s="86" t="s">
        <v>72</v>
      </c>
      <c r="D73" s="49"/>
      <c r="E73" s="64"/>
      <c r="F73" s="16"/>
      <c r="G73" s="16"/>
    </row>
    <row r="74" spans="1:7" ht="30" outlineLevel="2" x14ac:dyDescent="0.25">
      <c r="A74" s="115"/>
      <c r="B74" s="34"/>
      <c r="C74" s="86" t="s">
        <v>77</v>
      </c>
      <c r="D74" s="49" t="s">
        <v>78</v>
      </c>
      <c r="E74" s="64"/>
      <c r="F74" s="16"/>
      <c r="G74" s="16"/>
    </row>
    <row r="75" spans="1:7" ht="45" outlineLevel="2" x14ac:dyDescent="0.25">
      <c r="A75" s="115"/>
      <c r="B75" s="34"/>
      <c r="C75" s="94" t="s">
        <v>73</v>
      </c>
      <c r="D75" s="49" t="s">
        <v>74</v>
      </c>
      <c r="E75" s="64"/>
      <c r="F75" s="16"/>
      <c r="G75" s="16"/>
    </row>
    <row r="76" spans="1:7" ht="30" outlineLevel="2" x14ac:dyDescent="0.25">
      <c r="A76" s="115"/>
      <c r="B76" s="34"/>
      <c r="C76" s="94" t="s">
        <v>83</v>
      </c>
      <c r="D76" s="49" t="s">
        <v>84</v>
      </c>
      <c r="E76" s="64"/>
      <c r="F76" s="16"/>
      <c r="G76" s="16"/>
    </row>
    <row r="77" spans="1:7" ht="30" outlineLevel="2" x14ac:dyDescent="0.25">
      <c r="A77" s="115"/>
      <c r="B77" s="34"/>
      <c r="C77" s="94" t="s">
        <v>81</v>
      </c>
      <c r="D77" s="49" t="s">
        <v>82</v>
      </c>
      <c r="E77" s="64"/>
      <c r="F77" s="16"/>
      <c r="G77" s="16"/>
    </row>
    <row r="78" spans="1:7" ht="30" outlineLevel="2" x14ac:dyDescent="0.25">
      <c r="A78" s="115"/>
      <c r="B78" s="34"/>
      <c r="C78" s="94" t="s">
        <v>96</v>
      </c>
      <c r="D78" s="49" t="s">
        <v>97</v>
      </c>
      <c r="E78" s="64"/>
      <c r="F78" s="16"/>
      <c r="G78" s="16"/>
    </row>
    <row r="79" spans="1:7" ht="30" outlineLevel="2" x14ac:dyDescent="0.25">
      <c r="A79" s="115"/>
      <c r="B79" s="34"/>
      <c r="C79" s="86" t="s">
        <v>79</v>
      </c>
      <c r="D79" s="49" t="s">
        <v>80</v>
      </c>
      <c r="E79" s="64"/>
      <c r="F79" s="16"/>
      <c r="G79" s="16"/>
    </row>
    <row r="80" spans="1:7" ht="45" outlineLevel="2" x14ac:dyDescent="0.25">
      <c r="A80" s="115"/>
      <c r="B80" s="34"/>
      <c r="C80" s="86" t="s">
        <v>56</v>
      </c>
      <c r="D80" s="49" t="s">
        <v>57</v>
      </c>
      <c r="E80" s="64"/>
      <c r="F80" s="16"/>
      <c r="G80" s="16"/>
    </row>
    <row r="81" spans="1:7" ht="30" outlineLevel="2" x14ac:dyDescent="0.25">
      <c r="A81" s="115"/>
      <c r="B81" s="34"/>
      <c r="C81" s="87"/>
      <c r="D81" s="50"/>
      <c r="E81" s="65"/>
      <c r="F81" s="8"/>
      <c r="G81" s="8"/>
    </row>
    <row r="82" spans="1:7" ht="30" outlineLevel="1" x14ac:dyDescent="0.25">
      <c r="A82" s="115"/>
      <c r="B82" s="43" t="s">
        <v>125</v>
      </c>
      <c r="C82" s="121" t="s">
        <v>125</v>
      </c>
      <c r="D82" s="116"/>
      <c r="E82" s="63"/>
      <c r="F82" s="9"/>
      <c r="G82" s="9"/>
    </row>
    <row r="83" spans="1:7" ht="67.5" outlineLevel="2" x14ac:dyDescent="0.25">
      <c r="A83" s="115"/>
      <c r="B83" s="44" t="s">
        <v>144</v>
      </c>
      <c r="C83" s="77" t="s">
        <v>0</v>
      </c>
      <c r="D83" s="46" t="s">
        <v>37</v>
      </c>
      <c r="E83" s="60"/>
      <c r="F83" s="7">
        <v>3000000000000</v>
      </c>
      <c r="G83" s="7"/>
    </row>
    <row r="84" spans="1:7" ht="30" outlineLevel="2" x14ac:dyDescent="0.25">
      <c r="A84" s="115"/>
      <c r="B84" s="44" t="s">
        <v>145</v>
      </c>
      <c r="C84" s="95" t="s">
        <v>135</v>
      </c>
      <c r="D84" s="42" t="s">
        <v>19</v>
      </c>
      <c r="E84" s="66"/>
      <c r="F84" s="13">
        <v>50000000000</v>
      </c>
      <c r="G84" s="13"/>
    </row>
    <row r="85" spans="1:7" ht="45" outlineLevel="2" x14ac:dyDescent="0.25">
      <c r="A85" s="115"/>
      <c r="B85" s="44" t="s">
        <v>162</v>
      </c>
      <c r="C85" s="95" t="s">
        <v>167</v>
      </c>
      <c r="D85" s="42" t="s">
        <v>166</v>
      </c>
      <c r="E85" s="66"/>
      <c r="F85" s="13"/>
      <c r="G85" s="13"/>
    </row>
    <row r="86" spans="1:7" ht="30" outlineLevel="2" x14ac:dyDescent="0.25">
      <c r="A86" s="115"/>
      <c r="B86" s="44" t="s">
        <v>188</v>
      </c>
      <c r="C86" s="95" t="s">
        <v>187</v>
      </c>
      <c r="D86" s="42" t="s">
        <v>189</v>
      </c>
      <c r="E86" s="66"/>
      <c r="F86" s="13"/>
      <c r="G86" s="13"/>
    </row>
    <row r="87" spans="1:7" ht="45" outlineLevel="2" x14ac:dyDescent="0.25">
      <c r="A87" s="115"/>
      <c r="B87" s="44" t="s">
        <v>203</v>
      </c>
      <c r="C87" s="95" t="s">
        <v>204</v>
      </c>
      <c r="D87" s="42" t="s">
        <v>205</v>
      </c>
      <c r="E87" s="66"/>
      <c r="F87" s="13"/>
      <c r="G87" s="13"/>
    </row>
    <row r="88" spans="1:7" ht="45" outlineLevel="2" x14ac:dyDescent="0.25">
      <c r="A88" s="115"/>
      <c r="B88" s="34"/>
      <c r="C88" s="85" t="s">
        <v>85</v>
      </c>
      <c r="D88" s="39" t="s">
        <v>86</v>
      </c>
      <c r="E88" s="57"/>
      <c r="F88" s="10"/>
      <c r="G88" s="10"/>
    </row>
    <row r="89" spans="1:7" ht="45" outlineLevel="2" x14ac:dyDescent="0.25">
      <c r="A89" s="115"/>
      <c r="B89" s="34"/>
      <c r="C89" s="85" t="s">
        <v>63</v>
      </c>
      <c r="D89" s="39" t="s">
        <v>87</v>
      </c>
      <c r="E89" s="57"/>
      <c r="F89" s="10"/>
      <c r="G89" s="10"/>
    </row>
    <row r="90" spans="1:7" ht="30" outlineLevel="2" x14ac:dyDescent="0.25">
      <c r="A90" s="115"/>
      <c r="B90" s="34"/>
      <c r="C90" s="85" t="s">
        <v>88</v>
      </c>
      <c r="D90" s="39" t="s">
        <v>89</v>
      </c>
      <c r="E90" s="57"/>
      <c r="F90" s="10"/>
      <c r="G90" s="10"/>
    </row>
    <row r="91" spans="1:7" ht="30" outlineLevel="2" x14ac:dyDescent="0.25">
      <c r="A91" s="115"/>
      <c r="B91" s="34"/>
      <c r="C91" s="85"/>
      <c r="D91" s="39"/>
      <c r="E91" s="57"/>
      <c r="F91" s="10"/>
      <c r="G91" s="10"/>
    </row>
    <row r="92" spans="1:7" ht="30" outlineLevel="2" x14ac:dyDescent="0.25">
      <c r="A92" s="115"/>
      <c r="B92" s="34"/>
      <c r="C92" s="85"/>
      <c r="D92" s="39"/>
      <c r="E92" s="57"/>
      <c r="F92" s="10"/>
      <c r="G92" s="10"/>
    </row>
    <row r="93" spans="1:7" ht="30" outlineLevel="2" x14ac:dyDescent="0.25">
      <c r="A93" s="115"/>
      <c r="B93" s="34"/>
      <c r="C93" s="85"/>
      <c r="D93" s="39"/>
      <c r="E93" s="57"/>
      <c r="F93" s="10"/>
      <c r="G93" s="10"/>
    </row>
    <row r="94" spans="1:7" ht="30" outlineLevel="2" x14ac:dyDescent="0.25">
      <c r="A94" s="115"/>
      <c r="B94" s="36"/>
      <c r="C94" s="87"/>
      <c r="D94" s="50"/>
      <c r="E94" s="65"/>
      <c r="F94" s="8"/>
      <c r="G94" s="8"/>
    </row>
    <row r="95" spans="1:7" ht="30.75" outlineLevel="1" thickBot="1" x14ac:dyDescent="0.3">
      <c r="A95" s="122"/>
      <c r="B95" s="112" t="s">
        <v>126</v>
      </c>
      <c r="C95" s="123" t="s">
        <v>35</v>
      </c>
      <c r="D95" s="123"/>
      <c r="E95" s="113"/>
      <c r="F95" s="114"/>
      <c r="G95" s="114"/>
    </row>
    <row r="96" spans="1:7" ht="30" outlineLevel="2" x14ac:dyDescent="0.25">
      <c r="A96" s="115"/>
      <c r="B96" s="44" t="s">
        <v>163</v>
      </c>
      <c r="C96" s="95" t="s">
        <v>10</v>
      </c>
      <c r="D96" s="124" t="s">
        <v>175</v>
      </c>
      <c r="E96" s="110" t="s">
        <v>176</v>
      </c>
      <c r="F96" s="111"/>
      <c r="G96" s="111"/>
    </row>
    <row r="97" spans="1:8" ht="45" outlineLevel="2" x14ac:dyDescent="0.25">
      <c r="A97" s="115"/>
      <c r="B97" s="44" t="s">
        <v>164</v>
      </c>
      <c r="C97" s="80" t="s">
        <v>130</v>
      </c>
      <c r="D97" s="45" t="s">
        <v>131</v>
      </c>
      <c r="E97" s="72" t="s">
        <v>176</v>
      </c>
      <c r="F97" s="99"/>
      <c r="G97" s="99"/>
    </row>
    <row r="98" spans="1:8" ht="30" outlineLevel="2" x14ac:dyDescent="0.25">
      <c r="A98" s="115"/>
      <c r="B98" s="44" t="s">
        <v>165</v>
      </c>
      <c r="C98" s="80" t="s">
        <v>132</v>
      </c>
      <c r="D98" s="45" t="s">
        <v>133</v>
      </c>
      <c r="E98" s="72" t="s">
        <v>176</v>
      </c>
      <c r="F98" s="99"/>
      <c r="G98" s="99"/>
    </row>
    <row r="99" spans="1:8" ht="30" outlineLevel="2" x14ac:dyDescent="0.25">
      <c r="A99" s="115"/>
      <c r="B99" s="44" t="s">
        <v>177</v>
      </c>
      <c r="C99" s="80" t="s">
        <v>178</v>
      </c>
      <c r="D99" s="45" t="s">
        <v>190</v>
      </c>
      <c r="E99" s="72" t="s">
        <v>176</v>
      </c>
      <c r="F99" s="99"/>
      <c r="G99" s="10"/>
    </row>
    <row r="100" spans="1:8" ht="45" outlineLevel="2" x14ac:dyDescent="0.25">
      <c r="A100" s="115"/>
      <c r="B100" s="34"/>
      <c r="C100" s="80" t="s">
        <v>11</v>
      </c>
      <c r="D100" s="45" t="s">
        <v>16</v>
      </c>
      <c r="E100" s="72" t="s">
        <v>176</v>
      </c>
      <c r="F100" s="99"/>
      <c r="G100" s="99"/>
    </row>
    <row r="101" spans="1:8" ht="30" outlineLevel="2" x14ac:dyDescent="0.25">
      <c r="A101" s="115"/>
      <c r="B101" s="104" t="s">
        <v>200</v>
      </c>
      <c r="C101" s="80" t="s">
        <v>201</v>
      </c>
      <c r="D101" s="125"/>
      <c r="E101" s="74"/>
      <c r="F101" s="105"/>
      <c r="G101" s="99"/>
    </row>
    <row r="102" spans="1:8" ht="30" outlineLevel="2" x14ac:dyDescent="0.25">
      <c r="A102" s="115"/>
      <c r="B102" s="44" t="s">
        <v>206</v>
      </c>
      <c r="C102" s="80" t="s">
        <v>207</v>
      </c>
      <c r="D102" s="45" t="s">
        <v>223</v>
      </c>
      <c r="E102" s="102" t="s">
        <v>176</v>
      </c>
      <c r="F102" s="10">
        <v>235785343910</v>
      </c>
      <c r="G102" s="10">
        <f>F102-H102</f>
        <v>86294058926</v>
      </c>
      <c r="H102" s="107">
        <v>149491284984</v>
      </c>
    </row>
    <row r="103" spans="1:8" ht="45" outlineLevel="2" x14ac:dyDescent="0.25">
      <c r="A103" s="115"/>
      <c r="B103" s="44" t="s">
        <v>210</v>
      </c>
      <c r="C103" s="80" t="s">
        <v>209</v>
      </c>
      <c r="D103" s="45" t="s">
        <v>224</v>
      </c>
      <c r="E103" s="102" t="s">
        <v>176</v>
      </c>
      <c r="F103" s="10">
        <v>31834405680</v>
      </c>
      <c r="G103" s="10">
        <f>F103-H103</f>
        <v>14058506935</v>
      </c>
      <c r="H103" s="107">
        <v>17775898745</v>
      </c>
    </row>
    <row r="104" spans="1:8" ht="30" outlineLevel="2" x14ac:dyDescent="0.25">
      <c r="A104" s="115"/>
      <c r="B104" s="44" t="s">
        <v>216</v>
      </c>
      <c r="C104" s="80" t="s">
        <v>217</v>
      </c>
      <c r="D104" s="45" t="s">
        <v>218</v>
      </c>
      <c r="E104" s="102" t="s">
        <v>176</v>
      </c>
      <c r="F104" s="10">
        <v>0</v>
      </c>
      <c r="G104" s="10">
        <v>0</v>
      </c>
      <c r="H104" s="107"/>
    </row>
    <row r="105" spans="1:8" ht="45" outlineLevel="2" x14ac:dyDescent="0.25">
      <c r="A105" s="115"/>
      <c r="B105" s="44" t="s">
        <v>221</v>
      </c>
      <c r="C105" s="80" t="s">
        <v>222</v>
      </c>
      <c r="D105" s="125" t="s">
        <v>225</v>
      </c>
      <c r="E105" s="102" t="s">
        <v>176</v>
      </c>
      <c r="F105" s="10">
        <v>77992144113.279984</v>
      </c>
      <c r="G105" s="10">
        <f>F105-H105</f>
        <v>42533404491.719978</v>
      </c>
      <c r="H105" s="107">
        <v>35458739621.560005</v>
      </c>
    </row>
    <row r="106" spans="1:8" ht="45" outlineLevel="2" x14ac:dyDescent="0.25">
      <c r="A106" s="115"/>
      <c r="B106" s="44" t="s">
        <v>231</v>
      </c>
      <c r="C106" s="80" t="s">
        <v>232</v>
      </c>
      <c r="D106" s="45" t="s">
        <v>242</v>
      </c>
      <c r="E106" s="74" t="s">
        <v>176</v>
      </c>
      <c r="F106" s="105">
        <f>(22680000000-9278539200)*1.6</f>
        <v>21442337280</v>
      </c>
      <c r="G106" s="99">
        <f>F106-H106</f>
        <v>21442337280</v>
      </c>
      <c r="H106" s="107">
        <v>0</v>
      </c>
    </row>
    <row r="107" spans="1:8" ht="45" outlineLevel="2" x14ac:dyDescent="0.25">
      <c r="A107" s="115"/>
      <c r="B107" s="34"/>
      <c r="C107" s="85" t="s">
        <v>12</v>
      </c>
      <c r="D107" s="39" t="s">
        <v>15</v>
      </c>
      <c r="E107" s="57"/>
      <c r="F107" s="10"/>
      <c r="G107" s="10"/>
    </row>
    <row r="108" spans="1:8" ht="30" outlineLevel="2" x14ac:dyDescent="0.25">
      <c r="A108" s="115"/>
      <c r="B108" s="34"/>
      <c r="C108" s="85" t="s">
        <v>13</v>
      </c>
      <c r="D108" s="39" t="s">
        <v>28</v>
      </c>
      <c r="E108" s="57"/>
      <c r="F108" s="10"/>
      <c r="G108" s="10"/>
    </row>
    <row r="109" spans="1:8" ht="45" outlineLevel="2" x14ac:dyDescent="0.25">
      <c r="A109" s="115"/>
      <c r="B109" s="34"/>
      <c r="C109" s="85" t="s">
        <v>14</v>
      </c>
      <c r="D109" s="39" t="s">
        <v>15</v>
      </c>
      <c r="E109" s="57"/>
      <c r="F109" s="10"/>
      <c r="G109" s="10"/>
    </row>
    <row r="110" spans="1:8" ht="45" outlineLevel="2" x14ac:dyDescent="0.25">
      <c r="A110" s="115"/>
      <c r="B110" s="34"/>
      <c r="C110" s="85" t="s">
        <v>38</v>
      </c>
      <c r="D110" s="39" t="s">
        <v>15</v>
      </c>
      <c r="E110" s="57"/>
      <c r="F110" s="10"/>
      <c r="G110" s="10"/>
    </row>
    <row r="111" spans="1:8" ht="45" outlineLevel="2" x14ac:dyDescent="0.25">
      <c r="A111" s="115"/>
      <c r="B111" s="34"/>
      <c r="C111" s="85" t="s">
        <v>21</v>
      </c>
      <c r="D111" s="39" t="s">
        <v>26</v>
      </c>
      <c r="E111" s="57"/>
      <c r="F111" s="10"/>
      <c r="G111" s="10"/>
    </row>
    <row r="112" spans="1:8" ht="30" outlineLevel="2" x14ac:dyDescent="0.25">
      <c r="A112" s="115"/>
      <c r="B112" s="34"/>
      <c r="C112" s="86" t="s">
        <v>22</v>
      </c>
      <c r="D112" s="49" t="s">
        <v>15</v>
      </c>
      <c r="E112" s="64"/>
      <c r="F112" s="16"/>
      <c r="G112" s="16"/>
    </row>
    <row r="113" spans="1:7" ht="30.75" outlineLevel="2" thickBot="1" x14ac:dyDescent="0.3">
      <c r="A113" s="122"/>
      <c r="B113" s="37"/>
      <c r="C113" s="126"/>
      <c r="D113" s="127"/>
      <c r="E113" s="73"/>
      <c r="F113" s="12"/>
      <c r="G113" s="12"/>
    </row>
  </sheetData>
  <hyperlinks>
    <hyperlink ref="B2" r:id="rId1" xr:uid="{CAD7D407-F5A5-4022-8680-44021BB3AA7F}"/>
    <hyperlink ref="B5" r:id="rId2" xr:uid="{11EED316-D3B8-4CB0-9B3A-154A58E62995}"/>
    <hyperlink ref="B9" r:id="rId3" xr:uid="{0A5B4959-217B-470F-977D-8EDF57E6A333}"/>
    <hyperlink ref="B14" r:id="rId4" xr:uid="{C59D817B-97B1-4EED-ACC2-18C264343122}"/>
    <hyperlink ref="B23" r:id="rId5" xr:uid="{7B92BAE0-B4D1-456F-AB94-F94C18506BEB}"/>
    <hyperlink ref="B38" r:id="rId6" xr:uid="{FEF29F30-4467-48F7-90D9-6E72E09CA6AB}"/>
    <hyperlink ref="B41" r:id="rId7" xr:uid="{F5E65DBF-2153-4240-AB5F-30415C827145}"/>
    <hyperlink ref="B43" r:id="rId8" xr:uid="{BBC0BCB0-6B41-4C1C-AE56-4E37E1EFDDDB}"/>
    <hyperlink ref="B45" r:id="rId9" xr:uid="{FE5ED204-C938-481A-8E5E-1CDB53303BA2}"/>
    <hyperlink ref="B48" r:id="rId10" xr:uid="{7080B8A8-E2D9-4356-8CC1-F36EBA721BE9}"/>
    <hyperlink ref="B82" r:id="rId11" xr:uid="{A09158CB-5E21-4D9E-9FBB-771EF93E3F95}"/>
    <hyperlink ref="B95" r:id="rId12" xr:uid="{8AB60BC4-6F57-41CD-AABF-54414364A634}"/>
    <hyperlink ref="B24" r:id="rId13" xr:uid="{BFA36312-4CF5-4448-BFA5-B9E4A6DB2F66}"/>
    <hyperlink ref="B25" r:id="rId14" xr:uid="{9B782DB5-F608-4E66-B5C2-5B7D8B8BEC9B}"/>
    <hyperlink ref="B26" r:id="rId15" xr:uid="{3869B9B4-F4FA-430A-9AAC-75CBF887F0BC}"/>
    <hyperlink ref="B42" r:id="rId16" xr:uid="{387EEA71-FFA6-4D78-A57A-5FDB8313FDD5}"/>
    <hyperlink ref="B44" r:id="rId17" xr:uid="{7CC3325A-A852-45B3-BE66-CE39E5EFA5A9}"/>
    <hyperlink ref="B49" r:id="rId18" xr:uid="{E6A43F38-E8E5-449D-B65C-E20A849AE5BD}"/>
    <hyperlink ref="B50" r:id="rId19" xr:uid="{1141236E-89F8-4AA3-8994-D010509E12BD}"/>
    <hyperlink ref="B51" r:id="rId20" xr:uid="{7A473EC0-C8C8-4146-AC4E-88641F78655F}"/>
    <hyperlink ref="B52" r:id="rId21" xr:uid="{7B89BA54-A335-4745-9E7C-A177BD536EEE}"/>
    <hyperlink ref="B53" r:id="rId22" xr:uid="{5AE1010C-CFEA-43A3-9A3E-A5E20114CE88}"/>
    <hyperlink ref="B54" r:id="rId23" xr:uid="{F93453D8-E3BE-46E0-A8E8-3A1A2FF7585A}"/>
    <hyperlink ref="B83" r:id="rId24" xr:uid="{1A5772A7-1FF3-405A-866E-4EAE32C61595}"/>
    <hyperlink ref="B84" r:id="rId25" xr:uid="{AB2987CF-CAA2-42BE-AB14-BA5A307F42CD}"/>
    <hyperlink ref="B85" r:id="rId26" xr:uid="{781C137F-B4DC-4852-8FEE-BD0DA540A713}"/>
    <hyperlink ref="B96" r:id="rId27" xr:uid="{96FBEE86-5100-4132-9E4F-7008038116A2}"/>
    <hyperlink ref="B97" r:id="rId28" xr:uid="{D82406B4-859C-4C4F-AF62-CA45C25536BC}"/>
    <hyperlink ref="B98" r:id="rId29" xr:uid="{5E8658A0-EA10-4C3E-96F2-DF5454B87E5B}"/>
    <hyperlink ref="B99" r:id="rId30" xr:uid="{696F08BF-0406-4B3E-BF02-28A94C291749}"/>
    <hyperlink ref="B27" r:id="rId31" xr:uid="{0C8B6290-49C5-46DD-AEA0-6E17DB717397}"/>
    <hyperlink ref="B28" r:id="rId32" xr:uid="{1886D783-494B-4BD6-B7FD-AE5E98705B14}"/>
    <hyperlink ref="B29" r:id="rId33" xr:uid="{464D97E5-765C-4B73-A0DE-3FDC7BF636B1}"/>
    <hyperlink ref="B86" r:id="rId34" xr:uid="{81E29670-5A3F-4C79-8486-E5F0E92896AE}"/>
    <hyperlink ref="B6" r:id="rId35" xr:uid="{404E7C71-CBA8-4CBD-904C-5E3EF47295DC}"/>
    <hyperlink ref="B7" r:id="rId36" xr:uid="{6166C031-315B-4C60-A17D-C7A377D3DA5B}"/>
    <hyperlink ref="B10" r:id="rId37" xr:uid="{4695D452-56F8-4399-81C1-B0AB30213D07}"/>
    <hyperlink ref="B11" r:id="rId38" xr:uid="{3C591BEA-1D04-4657-A905-934E1CEA248A}"/>
    <hyperlink ref="B12" r:id="rId39" xr:uid="{80A1B078-C73A-4B4F-B439-B5EAA6F4B056}"/>
    <hyperlink ref="B15" r:id="rId40" xr:uid="{2DFAA246-F9F0-47B6-B2B4-5F168F311273}"/>
    <hyperlink ref="B16" r:id="rId41" xr:uid="{6C2232EC-F5B1-43ED-BF2E-9381D5ECF70F}"/>
    <hyperlink ref="B17" r:id="rId42" xr:uid="{C6B98CF8-6179-4B74-A136-993C1294C938}"/>
    <hyperlink ref="B18" r:id="rId43" xr:uid="{272BCC2A-ED7B-470B-A672-5A7327ACA914}"/>
    <hyperlink ref="B19" r:id="rId44" xr:uid="{8BA0E023-83F6-483D-BE93-B08B189548EC}"/>
    <hyperlink ref="B20" r:id="rId45" xr:uid="{DCE0730B-DB21-455F-A059-D076407C2759}"/>
    <hyperlink ref="B21" r:id="rId46" xr:uid="{BCF0A15C-5508-42D8-946F-FEB3FCC9B1FD}"/>
    <hyperlink ref="B55" r:id="rId47" xr:uid="{AA26EC83-E43D-4E85-84F4-8E189BA8944B}"/>
    <hyperlink ref="B56" r:id="rId48" xr:uid="{3E759B41-1847-4C9A-A1A2-92D497BDFF44}"/>
    <hyperlink ref="B57" r:id="rId49" display="008.TURL10" xr:uid="{DC9E1804-49E1-40E2-A549-66F82B2C1BBE}"/>
    <hyperlink ref="B101" r:id="rId50" xr:uid="{E757D9F0-1991-4E92-8F7C-19D66902AA84}"/>
    <hyperlink ref="B87" r:id="rId51" xr:uid="{0A1C91EE-4DB9-402C-BE14-95E7BD9B147D}"/>
    <hyperlink ref="B102" r:id="rId52" xr:uid="{F161CCA6-8B4A-4C85-8246-6B710AB113EB}"/>
    <hyperlink ref="B103" r:id="rId53" xr:uid="{7DCFD0C8-AA0E-4A8C-B24A-14E3F743A3D1}"/>
    <hyperlink ref="B104" r:id="rId54" xr:uid="{C202585E-3276-4046-BB81-14BCB92F7997}"/>
    <hyperlink ref="B3" r:id="rId55" xr:uid="{D53A05C9-3F0A-4056-AC6D-8D9875F4D513}"/>
    <hyperlink ref="B58" r:id="rId56" xr:uid="{5D217806-FEDE-4A59-9993-F8CA4E4331FD}"/>
    <hyperlink ref="B105" r:id="rId57" xr:uid="{62D6C202-319A-4DBF-B3C4-B5CFFE74E6D0}"/>
    <hyperlink ref="B106" r:id="rId58" xr:uid="{91169D86-7BAA-4E41-84EC-2615B16CC257}"/>
    <hyperlink ref="B30" r:id="rId59" display="006.X10" xr:uid="{99514612-AA32-4565-9AC6-057F750437A4}"/>
  </hyperlinks>
  <pageMargins left="0.23622047244094491" right="0.47244094488188981" top="0.57999999999999996" bottom="0.19685039370078741" header="0.2" footer="0.31496062992125984"/>
  <pageSetup scale="50" orientation="landscape" horizontalDpi="300" verticalDpi="300" r:id="rId60"/>
  <headerFooter>
    <oddHeader>&amp;C&amp;"B Titr,Bold"&amp;20کلیم های شناسایی شده مترو خط 10</oddHeader>
  </headerFooter>
  <rowBreaks count="2" manualBreakCount="2">
    <brk id="42" max="5" man="1"/>
    <brk id="63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B107-E181-4E33-886E-D635238986F4}">
  <sheetPr>
    <outlinePr summaryBelow="0"/>
  </sheetPr>
  <dimension ref="A1:F15"/>
  <sheetViews>
    <sheetView rightToLeft="1" view="pageBreakPreview" zoomScaleNormal="100" zoomScaleSheetLayoutView="100" workbookViewId="0">
      <selection activeCell="A10" sqref="A10:XFD15"/>
    </sheetView>
  </sheetViews>
  <sheetFormatPr defaultRowHeight="22.5" outlineLevelRow="4" x14ac:dyDescent="0.55000000000000004"/>
  <cols>
    <col min="1" max="3" width="3.140625" style="2" customWidth="1"/>
    <col min="4" max="4" width="83.140625" style="19" bestFit="1" customWidth="1"/>
    <col min="5" max="5" width="126.5703125" style="19" customWidth="1"/>
    <col min="6" max="6" width="27.5703125" style="1" customWidth="1"/>
    <col min="7" max="7" width="69.140625" style="2" customWidth="1"/>
    <col min="8" max="8" width="37.7109375" style="2" customWidth="1"/>
    <col min="9" max="9" width="20.5703125" style="2" bestFit="1" customWidth="1"/>
    <col min="10" max="10" width="16.140625" style="2" bestFit="1" customWidth="1"/>
    <col min="11" max="16384" width="9.140625" style="2"/>
  </cols>
  <sheetData>
    <row r="1" spans="1:6" ht="28.5" x14ac:dyDescent="0.75">
      <c r="A1" s="3"/>
      <c r="B1" s="4"/>
      <c r="C1" s="268" t="s">
        <v>36</v>
      </c>
      <c r="D1" s="268"/>
      <c r="E1" s="268"/>
      <c r="F1" s="269"/>
    </row>
    <row r="2" spans="1:6" ht="32.25" outlineLevel="1" x14ac:dyDescent="0.85">
      <c r="A2" s="5"/>
      <c r="B2" s="270" t="s">
        <v>32</v>
      </c>
      <c r="C2" s="270"/>
      <c r="D2" s="270"/>
      <c r="E2" s="270"/>
      <c r="F2" s="271"/>
    </row>
    <row r="3" spans="1:6" ht="28.5" outlineLevel="2" collapsed="1" x14ac:dyDescent="0.55000000000000004">
      <c r="A3" s="5"/>
      <c r="B3" s="6"/>
      <c r="C3" s="25"/>
      <c r="D3" s="27" t="s">
        <v>91</v>
      </c>
      <c r="E3" s="28" t="s">
        <v>92</v>
      </c>
      <c r="F3" s="26" t="s">
        <v>93</v>
      </c>
    </row>
    <row r="4" spans="1:6" hidden="1" outlineLevel="4" x14ac:dyDescent="0.55000000000000004">
      <c r="A4" s="5"/>
      <c r="B4" s="6"/>
      <c r="C4" s="24"/>
      <c r="D4" s="29" t="s">
        <v>94</v>
      </c>
      <c r="E4" s="30" t="s">
        <v>95</v>
      </c>
      <c r="F4" s="13"/>
    </row>
    <row r="5" spans="1:6" hidden="1" outlineLevel="4" x14ac:dyDescent="0.55000000000000004">
      <c r="A5" s="5"/>
      <c r="B5" s="6"/>
      <c r="C5" s="24"/>
      <c r="D5" s="20"/>
      <c r="E5" s="21"/>
      <c r="F5" s="13"/>
    </row>
    <row r="6" spans="1:6" hidden="1" outlineLevel="4" x14ac:dyDescent="0.55000000000000004">
      <c r="A6" s="5"/>
      <c r="B6" s="6"/>
      <c r="C6" s="24"/>
      <c r="D6" s="20"/>
      <c r="E6" s="21"/>
      <c r="F6" s="13"/>
    </row>
    <row r="7" spans="1:6" hidden="1" outlineLevel="4" x14ac:dyDescent="0.55000000000000004">
      <c r="A7" s="5"/>
      <c r="B7" s="6"/>
      <c r="C7" s="24"/>
      <c r="D7" s="20"/>
      <c r="E7" s="21"/>
      <c r="F7" s="13"/>
    </row>
    <row r="8" spans="1:6" outlineLevel="2" collapsed="1" x14ac:dyDescent="0.55000000000000004">
      <c r="A8" s="5"/>
      <c r="B8" s="6"/>
      <c r="C8" s="24"/>
      <c r="D8" s="23" t="s">
        <v>39</v>
      </c>
      <c r="E8" s="14" t="s">
        <v>17</v>
      </c>
      <c r="F8" s="13"/>
    </row>
    <row r="9" spans="1:6" hidden="1" outlineLevel="3" collapsed="1" x14ac:dyDescent="0.55000000000000004">
      <c r="A9" s="5"/>
      <c r="B9" s="6"/>
      <c r="C9" s="24"/>
      <c r="D9" s="22" t="s">
        <v>52</v>
      </c>
      <c r="E9" s="14" t="s">
        <v>51</v>
      </c>
      <c r="F9" s="10"/>
    </row>
    <row r="10" spans="1:6" hidden="1" outlineLevel="4" x14ac:dyDescent="0.55000000000000004">
      <c r="A10" s="5"/>
      <c r="B10" s="6"/>
      <c r="C10" s="24"/>
      <c r="D10" s="17" t="s">
        <v>3</v>
      </c>
      <c r="E10" s="14" t="s">
        <v>18</v>
      </c>
      <c r="F10" s="10"/>
    </row>
    <row r="11" spans="1:6" hidden="1" outlineLevel="4" x14ac:dyDescent="0.55000000000000004">
      <c r="A11" s="5"/>
      <c r="B11" s="6"/>
      <c r="C11" s="24"/>
      <c r="D11" s="17" t="s">
        <v>4</v>
      </c>
      <c r="E11" s="14" t="s">
        <v>17</v>
      </c>
      <c r="F11" s="10"/>
    </row>
    <row r="12" spans="1:6" hidden="1" outlineLevel="4" x14ac:dyDescent="0.55000000000000004">
      <c r="A12" s="5"/>
      <c r="B12" s="6"/>
      <c r="C12" s="24"/>
      <c r="D12" s="17" t="s">
        <v>58</v>
      </c>
      <c r="E12" s="14" t="s">
        <v>59</v>
      </c>
      <c r="F12" s="10"/>
    </row>
    <row r="13" spans="1:6" hidden="1" outlineLevel="4" x14ac:dyDescent="0.55000000000000004">
      <c r="A13" s="5"/>
      <c r="B13" s="6"/>
      <c r="C13" s="24"/>
      <c r="D13" s="17" t="s">
        <v>1</v>
      </c>
      <c r="E13" s="14" t="s">
        <v>20</v>
      </c>
      <c r="F13" s="10"/>
    </row>
    <row r="14" spans="1:6" hidden="1" outlineLevel="4" x14ac:dyDescent="0.55000000000000004">
      <c r="A14" s="5"/>
      <c r="B14" s="6"/>
      <c r="C14" s="24"/>
      <c r="D14" s="17" t="s">
        <v>23</v>
      </c>
      <c r="E14" s="14" t="s">
        <v>17</v>
      </c>
      <c r="F14" s="10"/>
    </row>
    <row r="15" spans="1:6" hidden="1" outlineLevel="4" x14ac:dyDescent="0.55000000000000004">
      <c r="A15" s="5"/>
      <c r="B15" s="6"/>
      <c r="C15" s="24"/>
      <c r="D15" s="18" t="s">
        <v>24</v>
      </c>
      <c r="E15" s="15" t="s">
        <v>17</v>
      </c>
      <c r="F15" s="8"/>
    </row>
  </sheetData>
  <mergeCells count="2">
    <mergeCell ref="C1:F1"/>
    <mergeCell ref="B2:F2"/>
  </mergeCells>
  <hyperlinks>
    <hyperlink ref="D4" r:id="rId1" xr:uid="{A96FFF98-0567-4313-80F4-1753760D3517}"/>
  </hyperlinks>
  <pageMargins left="0.23622047244094491" right="0.47244094488188981" top="0.57999999999999996" bottom="0.19685039370078741" header="0.2" footer="0.31496062992125984"/>
  <pageSetup scale="42" orientation="landscape" horizontalDpi="300" verticalDpi="300" r:id="rId2"/>
  <headerFooter>
    <oddHeader>&amp;C&amp;"B Titr,Bold"&amp;20کلیم های شناسایی شده مترو خط 10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TOTAL</vt:lpstr>
      <vt:lpstr>TOTAL (3)</vt:lpstr>
      <vt:lpstr>TOTAL (2)</vt:lpstr>
      <vt:lpstr>المپیک</vt:lpstr>
      <vt:lpstr>TOTAL!Print_Area</vt:lpstr>
      <vt:lpstr>'TOTAL (2)'!Print_Area</vt:lpstr>
      <vt:lpstr>'TOTAL (3)'!Print_Area</vt:lpstr>
      <vt:lpstr>'TOTAL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2026-09-15T04:56:29Z</dcterms:modified>
</cp:coreProperties>
</file>