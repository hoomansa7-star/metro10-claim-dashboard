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پیمان" sheetId="1" state="visible" r:id="rId1"/>
    <sheet xmlns:r="http://schemas.openxmlformats.org/officeDocument/2006/relationships" name="محاسبات ۵۰۹۰ تاخیرات" sheetId="2" state="visible" r:id="rId2"/>
    <sheet xmlns:r="http://schemas.openxmlformats.org/officeDocument/2006/relationships" name="معارضات و موانع کارگاهی" sheetId="3" state="visible" r:id="rId3"/>
    <sheet xmlns:r="http://schemas.openxmlformats.org/officeDocument/2006/relationships" name="تضامین و ضمانت‌نامه‌ه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homa"/>
      <b val="1"/>
      <color rgb="001E3A8A"/>
      <sz val="14"/>
    </font>
    <font>
      <name val="Tahoma"/>
      <b val="1"/>
      <sz val="10"/>
    </font>
    <font>
      <name val="Tahoma"/>
      <sz val="10"/>
    </font>
    <font>
      <name val="Tahoma"/>
      <b val="1"/>
      <color rgb="001E3A8A"/>
      <sz val="13"/>
    </font>
    <font>
      <name val="Tahoma"/>
      <b val="1"/>
      <color rgb="00FFFFFF"/>
      <sz val="10"/>
    </font>
    <font>
      <name val="Tahoma"/>
      <b val="1"/>
      <color rgb="000F766E"/>
      <sz val="13"/>
    </font>
    <font>
      <name val="Tahoma"/>
      <b val="1"/>
      <color rgb="00374151"/>
      <sz val="13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0F766E"/>
        <bgColor rgb="000F766E"/>
      </patternFill>
    </fill>
    <fill>
      <patternFill patternType="solid">
        <fgColor rgb="00374151"/>
        <bgColor rgb="00374151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right" vertical="center"/>
    </xf>
    <xf numFmtId="3" fontId="2" fillId="5" borderId="3" applyAlignment="1" pivotButton="0" quotePrefix="0" xfId="0">
      <alignment horizontal="center" vertical="center"/>
    </xf>
    <xf numFmtId="2" fontId="2" fillId="5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rightToLeft="1" workbookViewId="0">
      <selection activeCell="A1" sqref="A1"/>
    </sheetView>
  </sheetViews>
  <sheetFormatPr baseColWidth="8" defaultRowHeight="15"/>
  <cols>
    <col width="116" customWidth="1" min="1" max="1"/>
    <col width="102" customWidth="1" min="2" max="2"/>
    <col width="14" customWidth="1" min="3" max="3"/>
  </cols>
  <sheetData>
    <row r="1" ht="35" customHeight="1">
      <c r="A1" s="1" t="inlineStr">
        <is>
          <t>شناسنامه و وضعیت مالی پروژه احداث خط ۱۰ متروی تهران (شامل بخش یک ساختمانی فهارس بهایی و بخش دو تجهیزات ویژه EPC)</t>
        </is>
      </c>
    </row>
    <row r="2"/>
    <row r="3" ht="22" customHeight="1">
      <c r="A3" s="2" t="inlineStr">
        <is>
          <t>شماره پیمان:</t>
        </is>
      </c>
      <c r="B3" s="3" t="inlineStr">
        <is>
          <t>۰۱/۱۰/۷۲/م</t>
        </is>
      </c>
    </row>
    <row r="4" ht="22" customHeight="1">
      <c r="A4" s="2" t="inlineStr">
        <is>
          <t>کارفرما:</t>
        </is>
      </c>
      <c r="B4" s="3" t="inlineStr">
        <is>
          <t>شرکت راه‌آهن شهری تهران و حومه (مترو)</t>
        </is>
      </c>
    </row>
    <row r="5" ht="22" customHeight="1">
      <c r="A5" s="2" t="inlineStr">
        <is>
          <t>مهندس مشاور:</t>
        </is>
      </c>
      <c r="B5" s="3" t="inlineStr">
        <is>
          <t>مهندسین مشاور ره پویان (پویان ره طرح)</t>
        </is>
      </c>
    </row>
    <row r="6" ht="22" customHeight="1">
      <c r="A6" s="2" t="inlineStr">
        <is>
          <t>پیمانکار:</t>
        </is>
      </c>
      <c r="B6" s="3" t="inlineStr">
        <is>
          <t>قرارگاه سازندگی خاتم‌الانبیاء (ص) — موسسه مهندسی رهاب</t>
        </is>
      </c>
    </row>
    <row r="7" ht="22" customHeight="1">
      <c r="A7" s="2" t="inlineStr">
        <is>
          <t>مبلغ اولیه پیمان (ریال):</t>
        </is>
      </c>
      <c r="B7" s="4" t="n">
        <v>397070750000000</v>
      </c>
    </row>
    <row r="8" ht="22" customHeight="1">
      <c r="A8" s="2" t="inlineStr">
        <is>
          <t>سقف ۲۵٪ افزایش موضوع ماده ۲۹ (ریال):</t>
        </is>
      </c>
      <c r="B8" s="4" t="n">
        <v>99267687500000</v>
      </c>
    </row>
    <row r="9" ht="22" customHeight="1">
      <c r="A9" s="2" t="inlineStr">
        <is>
          <t>حداکثر سقف مجاز پیمان (ریال):</t>
        </is>
      </c>
      <c r="B9" s="4" t="n">
        <v>496338437500000</v>
      </c>
    </row>
    <row r="10" ht="22" customHeight="1">
      <c r="A10" s="2" t="inlineStr">
        <is>
          <t>مدت اولیه پیمان (ماه):</t>
        </is>
      </c>
      <c r="B10" s="3" t="n">
        <v>72</v>
      </c>
    </row>
    <row r="11" ht="22" customHeight="1">
      <c r="A11" s="2" t="inlineStr">
        <is>
          <t>تاریخ شروع پیمان:</t>
        </is>
      </c>
      <c r="B11" s="3" t="inlineStr">
        <is>
          <t>1402/03/02</t>
        </is>
      </c>
    </row>
    <row r="12" ht="22" customHeight="1">
      <c r="A12" s="2" t="inlineStr">
        <is>
          <t>تاریخ اولیه پایان پیمان:</t>
        </is>
      </c>
      <c r="B12" s="3" t="inlineStr">
        <is>
          <t>1408/03/02</t>
        </is>
      </c>
    </row>
    <row r="13" ht="22" customHeight="1">
      <c r="A13" s="2" t="inlineStr">
        <is>
          <t>تمدید مجاز طبق لایحه (روز):</t>
        </is>
      </c>
      <c r="B13" s="3" t="n">
        <v>379</v>
      </c>
    </row>
    <row r="14" ht="22" customHeight="1">
      <c r="A14" s="2" t="inlineStr">
        <is>
          <t>تاریخ جدید مصوب پایان پیمان:</t>
        </is>
      </c>
      <c r="B14" s="3" t="inlineStr">
        <is>
          <t>1409/03/15</t>
        </is>
      </c>
    </row>
    <row r="15" ht="22" customHeight="1">
      <c r="A15" s="2" t="inlineStr">
        <is>
          <t>وضعیت اجرایی کارگاه:</t>
        </is>
      </c>
      <c r="B15" s="3" t="inlineStr">
        <is>
          <t>در حال اجرا — حفاری مکانیزه تونل با دستگاه TBM، تولید سگمنت‌های بتنی و احداث ایستگاه‌های قطعه غربی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rightToLeft="1" workbookViewId="0">
      <selection activeCell="A1" sqref="A1"/>
    </sheetView>
  </sheetViews>
  <sheetFormatPr baseColWidth="8" defaultRowHeight="15"/>
  <cols>
    <col width="99" customWidth="1" min="1" max="1"/>
    <col width="34" customWidth="1" min="2" max="2"/>
    <col width="15" customWidth="1" min="3" max="3"/>
    <col width="24" customWidth="1" min="4" max="4"/>
    <col width="23" customWidth="1" min="5" max="5"/>
    <col width="21" customWidth="1" min="6" max="6"/>
    <col width="25" customWidth="1" min="7" max="7"/>
    <col width="22" customWidth="1" min="8" max="8"/>
    <col width="32" customWidth="1" min="9" max="9"/>
    <col width="24" customWidth="1" min="10" max="10"/>
    <col width="47" customWidth="1" min="11" max="11"/>
  </cols>
  <sheetData>
    <row r="1" ht="32" customHeight="1">
      <c r="A1" s="5" t="inlineStr">
        <is>
          <t>جدول رسمی محاسبه تاخیرات ناشی از دیرکرد در پرداخت‌ها (بخشنامه شماره ۵۰۹۰ سازمان برنامه و بودجه)</t>
        </is>
      </c>
    </row>
    <row r="2"/>
    <row r="3" ht="28" customHeight="1">
      <c r="A3" s="6" t="inlineStr">
        <is>
          <t>ردیف</t>
        </is>
      </c>
      <c r="B3" s="6" t="inlineStr">
        <is>
          <t>عنوان صورت وضعیت / پیش‌پرداخت</t>
        </is>
      </c>
      <c r="C3" s="6" t="inlineStr">
        <is>
          <t>نوع سند</t>
        </is>
      </c>
      <c r="D3" s="6" t="inlineStr">
        <is>
          <t>تاریخ تسلیم به مشاور</t>
        </is>
      </c>
      <c r="E3" s="6" t="inlineStr">
        <is>
          <t>مهلت مشاور (۱۰ روز)</t>
        </is>
      </c>
      <c r="F3" s="6" t="inlineStr">
        <is>
          <t>تاریخ تایید مشاور</t>
        </is>
      </c>
      <c r="G3" s="6" t="inlineStr">
        <is>
          <t>مهلت کارفرما (۱۰ روز)</t>
        </is>
      </c>
      <c r="H3" s="6" t="inlineStr">
        <is>
          <t>تاریخ پرداخت واقعی</t>
        </is>
      </c>
      <c r="I3" s="6" t="inlineStr">
        <is>
          <t>مبلغ کارکرد/پرداختی F (ریال)</t>
        </is>
      </c>
      <c r="J3" s="6" t="inlineStr">
        <is>
          <t>تاخیر پرداخت D (روز)</t>
        </is>
      </c>
      <c r="K3" s="6" t="inlineStr">
        <is>
          <t>تاخیر مجاز T (روز)</t>
        </is>
      </c>
    </row>
    <row r="4" ht="22" customHeight="1">
      <c r="A4" s="7" t="n">
        <v>1</v>
      </c>
      <c r="B4" s="8" t="inlineStr">
        <is>
          <t>پیش‌پرداخت قسط اول (بخش یک)</t>
        </is>
      </c>
      <c r="C4" s="7" t="inlineStr">
        <is>
          <t>پیش‌پرداخت</t>
        </is>
      </c>
      <c r="D4" s="7" t="inlineStr">
        <is>
          <t>1402/03/20</t>
        </is>
      </c>
      <c r="E4" s="7" t="inlineStr">
        <is>
          <t>1402/03/20</t>
        </is>
      </c>
      <c r="F4" s="7" t="inlineStr">
        <is>
          <t>1402/03/28</t>
        </is>
      </c>
      <c r="G4" s="7" t="inlineStr">
        <is>
          <t>1402/04/04</t>
        </is>
      </c>
      <c r="H4" s="7" t="inlineStr">
        <is>
          <t>1402/06/15</t>
        </is>
      </c>
      <c r="I4" s="9" t="n">
        <v>19853537500000</v>
      </c>
      <c r="J4" s="7" t="n">
        <v>73</v>
      </c>
      <c r="K4" s="10">
        <f>ROUND((J4 * I4) / 'خلاصه پیمان'!$B$7, 2)</f>
        <v/>
      </c>
    </row>
    <row r="5" ht="22" customHeight="1">
      <c r="A5" s="11" t="n">
        <v>2</v>
      </c>
      <c r="B5" s="12" t="inlineStr">
        <is>
          <t>صورت‌وضعیت کارکرد موقت شماره ۱</t>
        </is>
      </c>
      <c r="C5" s="11" t="inlineStr">
        <is>
          <t>کارکرد موقت</t>
        </is>
      </c>
      <c r="D5" s="11" t="inlineStr">
        <is>
          <t>1402/06/10</t>
        </is>
      </c>
      <c r="E5" s="11" t="inlineStr">
        <is>
          <t>1402/06/10</t>
        </is>
      </c>
      <c r="F5" s="11" t="inlineStr">
        <is>
          <t>1402/06/30</t>
        </is>
      </c>
      <c r="G5" s="11" t="inlineStr">
        <is>
          <t>1402/07/09</t>
        </is>
      </c>
      <c r="H5" s="11" t="inlineStr">
        <is>
          <t>1402/09/20</t>
        </is>
      </c>
      <c r="I5" s="13" t="n">
        <v>13800000000000</v>
      </c>
      <c r="J5" s="11" t="n">
        <v>71</v>
      </c>
      <c r="K5" s="14">
        <f>ROUND((J5 * I5) / 'خلاصه پیمان'!$B$7, 2)</f>
        <v/>
      </c>
    </row>
    <row r="6" ht="22" customHeight="1">
      <c r="A6" s="7" t="n">
        <v>3</v>
      </c>
      <c r="B6" s="8" t="inlineStr">
        <is>
          <t>صورت‌وضعیت کارکرد موقت شماره ۲</t>
        </is>
      </c>
      <c r="C6" s="7" t="inlineStr">
        <is>
          <t>کارکرد موقت</t>
        </is>
      </c>
      <c r="D6" s="7" t="inlineStr">
        <is>
          <t>1402/09/08</t>
        </is>
      </c>
      <c r="E6" s="7" t="inlineStr">
        <is>
          <t>1402/09/08</t>
        </is>
      </c>
      <c r="F6" s="7" t="inlineStr">
        <is>
          <t>1402/09/28</t>
        </is>
      </c>
      <c r="G6" s="7" t="inlineStr">
        <is>
          <t>1402/10/08</t>
        </is>
      </c>
      <c r="H6" s="7" t="inlineStr">
        <is>
          <t>1402/12/25</t>
        </is>
      </c>
      <c r="I6" s="9" t="n">
        <v>25800000000000</v>
      </c>
      <c r="J6" s="7" t="n">
        <v>77</v>
      </c>
      <c r="K6" s="10">
        <f>ROUND((J6 * I6) / 'خلاصه پیمان'!$B$7, 2)</f>
        <v/>
      </c>
    </row>
    <row r="7" ht="22" customHeight="1">
      <c r="A7" s="11" t="n">
        <v>4</v>
      </c>
      <c r="B7" s="12" t="inlineStr">
        <is>
          <t>صورت‌وضعیت کارکرد موقت شماره ۳</t>
        </is>
      </c>
      <c r="C7" s="11" t="inlineStr">
        <is>
          <t>کارکرد موقت</t>
        </is>
      </c>
      <c r="D7" s="11" t="inlineStr">
        <is>
          <t>1402/12/07</t>
        </is>
      </c>
      <c r="E7" s="11" t="inlineStr">
        <is>
          <t>1402/12/07</t>
        </is>
      </c>
      <c r="F7" s="11" t="inlineStr">
        <is>
          <t>1402/12/27</t>
        </is>
      </c>
      <c r="G7" s="11" t="inlineStr">
        <is>
          <t>1403/01/08</t>
        </is>
      </c>
      <c r="H7" s="11" t="inlineStr">
        <is>
          <t>1403/03/28</t>
        </is>
      </c>
      <c r="I7" s="13" t="n">
        <v>37500000000000</v>
      </c>
      <c r="J7" s="11" t="n">
        <v>82</v>
      </c>
      <c r="K7" s="14">
        <f>ROUND((J7 * I7) / 'خلاصه پیمان'!$B$7, 2)</f>
        <v/>
      </c>
    </row>
    <row r="8" ht="22" customHeight="1">
      <c r="A8" s="7" t="n">
        <v>5</v>
      </c>
      <c r="B8" s="8" t="inlineStr">
        <is>
          <t>صورت‌وضعیت کارکرد موقت شماره ۴</t>
        </is>
      </c>
      <c r="C8" s="7" t="inlineStr">
        <is>
          <t>کارکرد موقت</t>
        </is>
      </c>
      <c r="D8" s="7" t="inlineStr">
        <is>
          <t>1403/03/08</t>
        </is>
      </c>
      <c r="E8" s="7" t="inlineStr">
        <is>
          <t>1403/03/08</t>
        </is>
      </c>
      <c r="F8" s="7" t="inlineStr">
        <is>
          <t>1403/03/30</t>
        </is>
      </c>
      <c r="G8" s="7" t="inlineStr">
        <is>
          <t>1403/04/09</t>
        </is>
      </c>
      <c r="H8" s="7" t="inlineStr">
        <is>
          <t>1403/07/18</t>
        </is>
      </c>
      <c r="I8" s="9" t="n">
        <v>48200000000000</v>
      </c>
      <c r="J8" s="7" t="n">
        <v>102</v>
      </c>
      <c r="K8" s="10">
        <f>ROUND((J8 * I8) / 'خلاصه پیمان'!$B$7, 2)</f>
        <v/>
      </c>
    </row>
    <row r="9" ht="22" customHeight="1">
      <c r="A9" s="11" t="n">
        <v>6</v>
      </c>
      <c r="B9" s="12" t="inlineStr">
        <is>
          <t>صورت‌وضعیت کارکرد موقت شماره ۵</t>
        </is>
      </c>
      <c r="C9" s="11" t="inlineStr">
        <is>
          <t>کارکرد موقت</t>
        </is>
      </c>
      <c r="D9" s="11" t="inlineStr">
        <is>
          <t>1403/06/08</t>
        </is>
      </c>
      <c r="E9" s="11" t="inlineStr">
        <is>
          <t>1403/06/08</t>
        </is>
      </c>
      <c r="F9" s="11" t="inlineStr">
        <is>
          <t>1403/06/29</t>
        </is>
      </c>
      <c r="G9" s="11" t="inlineStr">
        <is>
          <t>1403/07/08</t>
        </is>
      </c>
      <c r="H9" s="11" t="inlineStr">
        <is>
          <t>1403/11/15</t>
        </is>
      </c>
      <c r="I9" s="13" t="n">
        <v>56800000000000</v>
      </c>
      <c r="J9" s="11" t="n">
        <v>127</v>
      </c>
      <c r="K9" s="14">
        <f>ROUND((J9 * I9) / 'خلاصه پیمان'!$B$7, 2)</f>
        <v/>
      </c>
    </row>
    <row r="10" ht="22" customHeight="1">
      <c r="A10" s="7" t="n">
        <v>7</v>
      </c>
      <c r="B10" s="8" t="inlineStr">
        <is>
          <t>صورت‌وضعیت کارکرد موقت شماره ۶</t>
        </is>
      </c>
      <c r="C10" s="7" t="inlineStr">
        <is>
          <t>کارکرد موقت</t>
        </is>
      </c>
      <c r="D10" s="7" t="inlineStr">
        <is>
          <t>1403/09/07</t>
        </is>
      </c>
      <c r="E10" s="7" t="inlineStr">
        <is>
          <t>1403/09/07</t>
        </is>
      </c>
      <c r="F10" s="7" t="inlineStr">
        <is>
          <t>1403/09/28</t>
        </is>
      </c>
      <c r="G10" s="7" t="inlineStr">
        <is>
          <t>1403/10/08</t>
        </is>
      </c>
      <c r="H10" s="7" t="inlineStr">
        <is>
          <t>واریز نشده</t>
        </is>
      </c>
      <c r="I10" s="9" t="n">
        <v>62500000000000</v>
      </c>
      <c r="J10" s="7" t="n">
        <v>617</v>
      </c>
      <c r="K10" s="10">
        <f>ROUND((J10 * I10) / 'خلاصه پیمان'!$B$7, 2)</f>
        <v/>
      </c>
    </row>
    <row r="11" ht="26" customHeight="1">
      <c r="A11" s="15" t="n"/>
      <c r="B11" s="16" t="inlineStr">
        <is>
          <t>جمع کل کارکرد و تاخیرات ۵۰۹۰</t>
        </is>
      </c>
      <c r="C11" s="15" t="n"/>
      <c r="D11" s="15" t="n"/>
      <c r="E11" s="15" t="n"/>
      <c r="F11" s="15" t="n"/>
      <c r="G11" s="15" t="n"/>
      <c r="H11" s="15" t="n"/>
      <c r="I11" s="17">
        <f>SUM(I4:I10)</f>
        <v/>
      </c>
      <c r="J11" s="15">
        <f>SUM(J4:J10)</f>
        <v/>
      </c>
      <c r="K11" s="18">
        <f>SUM(K4:K10)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rightToLeft="1" workbookViewId="0">
      <selection activeCell="A1" sqref="A1"/>
    </sheetView>
  </sheetViews>
  <sheetFormatPr baseColWidth="8" defaultRowHeight="15"/>
  <cols>
    <col width="92" customWidth="1" min="1" max="1"/>
    <col width="39" customWidth="1" min="2" max="2"/>
    <col width="34" customWidth="1" min="3" max="3"/>
    <col width="19" customWidth="1" min="4" max="4"/>
    <col width="18" customWidth="1" min="5" max="5"/>
    <col width="18" customWidth="1" min="6" max="6"/>
    <col width="36" customWidth="1" min="7" max="7"/>
  </cols>
  <sheetData>
    <row r="1" ht="32" customHeight="1">
      <c r="A1" s="19" t="inlineStr">
        <is>
          <t>جدول رصد موانع کارگاهی، معارضین تأسیساتی/ملکی و توقفات اجرایی خط ۱۰ (ماده ۲۸ نشریه ۴۳۱۱)</t>
        </is>
      </c>
    </row>
    <row r="2"/>
    <row r="3" ht="28" customHeight="1">
      <c r="A3" s="20" t="inlineStr">
        <is>
          <t>ردیف</t>
        </is>
      </c>
      <c r="B3" s="20" t="inlineStr">
        <is>
          <t>جبهه کاری / ایستگاه / شفت</t>
        </is>
      </c>
      <c r="C3" s="20" t="inlineStr">
        <is>
          <t>نوع معارض</t>
        </is>
      </c>
      <c r="D3" s="20" t="inlineStr">
        <is>
          <t>تاریخ شروع مانع</t>
        </is>
      </c>
      <c r="E3" s="20" t="inlineStr">
        <is>
          <t>تاریخ رفع مانع</t>
        </is>
      </c>
      <c r="F3" s="20" t="inlineStr">
        <is>
          <t>مدت توقف (روز)</t>
        </is>
      </c>
      <c r="G3" s="20" t="inlineStr">
        <is>
          <t>شماره نامه اعلام پیمانکار</t>
        </is>
      </c>
    </row>
    <row r="4" ht="22" customHeight="1">
      <c r="A4" s="7" t="n">
        <v>1</v>
      </c>
      <c r="B4" s="8" t="inlineStr">
        <is>
          <t>کارگاه شفت ورودی TBM دریاچه چیتگر</t>
        </is>
      </c>
      <c r="C4" s="7" t="inlineStr">
        <is>
          <t>معارض تأسیساتی</t>
        </is>
      </c>
      <c r="D4" s="7" t="inlineStr">
        <is>
          <t>1402/04/10</t>
        </is>
      </c>
      <c r="E4" s="7" t="inlineStr">
        <is>
          <t>1402/06/05</t>
        </is>
      </c>
      <c r="F4" s="7" t="n">
        <v>58</v>
      </c>
      <c r="G4" s="8" t="inlineStr">
        <is>
          <t>۱۰/رهاب/۱۴۰۲/۳۱۱ مورخ ۱۴۰۲/۰۴/۱۲</t>
        </is>
      </c>
    </row>
    <row r="5" ht="22" customHeight="1">
      <c r="A5" s="7" t="n">
        <v>2</v>
      </c>
      <c r="B5" s="8" t="inlineStr">
        <is>
          <t>ایستگاه کوهک (U10)</t>
        </is>
      </c>
      <c r="C5" s="7" t="inlineStr">
        <is>
          <t>معارض ملکی و عدم تحویل زمین</t>
        </is>
      </c>
      <c r="D5" s="7" t="inlineStr">
        <is>
          <t>1402/07/15</t>
        </is>
      </c>
      <c r="E5" s="7" t="inlineStr">
        <is>
          <t>1402/09/10</t>
        </is>
      </c>
      <c r="F5" s="7" t="n">
        <v>56</v>
      </c>
      <c r="G5" s="8" t="inlineStr">
        <is>
          <t>۱۰/رهاب/۱۴۰۲/۶۴۵ مورخ ۱۴۰۲/۰۷/۱۸</t>
        </is>
      </c>
    </row>
    <row r="6" ht="22" customHeight="1">
      <c r="A6" s="7" t="n">
        <v>3</v>
      </c>
      <c r="B6" s="8" t="inlineStr">
        <is>
          <t>ایستگاه میدان دریاچه (S10)</t>
        </is>
      </c>
      <c r="C6" s="7" t="inlineStr">
        <is>
          <t>معارض تأسیساتی و ترافیکی</t>
        </is>
      </c>
      <c r="D6" s="7" t="inlineStr">
        <is>
          <t>1403/01/20</t>
        </is>
      </c>
      <c r="E6" s="7" t="inlineStr">
        <is>
          <t>1403/03/15</t>
        </is>
      </c>
      <c r="F6" s="7" t="n">
        <v>58</v>
      </c>
      <c r="G6" s="8" t="inlineStr">
        <is>
          <t>۱۰/رهاب/۱۴۰۳/۱۱۲ مورخ ۱۴۰۳/۰۱/۲۲</t>
        </is>
      </c>
    </row>
    <row r="7" ht="22" customHeight="1">
      <c r="A7" s="7" t="n">
        <v>4</v>
      </c>
      <c r="B7" s="8" t="inlineStr">
        <is>
          <t>شفت هواکش میان‌تونلی و خروج اضطراری</t>
        </is>
      </c>
      <c r="C7" s="7" t="inlineStr">
        <is>
          <t>دستور توقف کتبی بدون ذکر تعلیق</t>
        </is>
      </c>
      <c r="D7" s="7" t="inlineStr">
        <is>
          <t>1403/05/10</t>
        </is>
      </c>
      <c r="E7" s="7" t="inlineStr">
        <is>
          <t>1403/07/01</t>
        </is>
      </c>
      <c r="F7" s="7" t="n">
        <v>54</v>
      </c>
      <c r="G7" s="8" t="inlineStr">
        <is>
          <t>۱۰/رهاب/۱۴۰۳/۵۴۰ مورخ ۱۴۰۳/۰۵/۱۲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rightToLeft="1" workbookViewId="0">
      <selection activeCell="A1" sqref="A1"/>
    </sheetView>
  </sheetViews>
  <sheetFormatPr baseColWidth="8" defaultRowHeight="15"/>
  <cols>
    <col width="61" customWidth="1" min="1" max="1"/>
    <col width="41" customWidth="1" min="2" max="2"/>
    <col width="41" customWidth="1" min="3" max="3"/>
    <col width="20" customWidth="1" min="4" max="4"/>
    <col width="26" customWidth="1" min="5" max="5"/>
    <col width="14" customWidth="1" min="6" max="6"/>
    <col width="16" customWidth="1" min="7" max="7"/>
  </cols>
  <sheetData>
    <row r="1" ht="32" customHeight="1">
      <c r="A1" s="21" t="inlineStr">
        <is>
          <t>جدول کنترل و سررسید ضمانت‌نامه‌های بانکی پیمان خط ۱۰ مترو</t>
        </is>
      </c>
    </row>
    <row r="2"/>
    <row r="3" ht="28" customHeight="1">
      <c r="A3" s="22" t="inlineStr">
        <is>
          <t>ردیف</t>
        </is>
      </c>
      <c r="B3" s="22" t="inlineStr">
        <is>
          <t>نوع ضمانت‌نامه</t>
        </is>
      </c>
      <c r="C3" s="22" t="inlineStr">
        <is>
          <t>بانک عامل و شعبه</t>
        </is>
      </c>
      <c r="D3" s="22" t="inlineStr">
        <is>
          <t>شماره ضمانت‌نامه</t>
        </is>
      </c>
      <c r="E3" s="22" t="inlineStr">
        <is>
          <t>مبلغ ضمانت‌نامه (ریال)</t>
        </is>
      </c>
      <c r="F3" s="22" t="inlineStr">
        <is>
          <t>تاریخ صدور</t>
        </is>
      </c>
      <c r="G3" s="22" t="inlineStr">
        <is>
          <t>تاریخ سررسید</t>
        </is>
      </c>
    </row>
    <row r="4" ht="22" customHeight="1">
      <c r="A4" s="7" t="n">
        <v>1</v>
      </c>
      <c r="B4" s="7" t="inlineStr">
        <is>
          <t>پیش‌پرداخت قسط اول (بخش یک)</t>
        </is>
      </c>
      <c r="C4" s="8" t="inlineStr">
        <is>
          <t>بانک سپه — شعبه سازندگی خاتم‌الانبیاء</t>
        </is>
      </c>
      <c r="D4" s="7" t="inlineStr">
        <is>
          <t>۱۴۰۲/س/۹۸۷۱۲</t>
        </is>
      </c>
      <c r="E4" s="9" t="n">
        <v>19853537500000</v>
      </c>
      <c r="F4" s="7" t="inlineStr">
        <is>
          <t>1402/03/15</t>
        </is>
      </c>
      <c r="G4" s="7" t="inlineStr">
        <is>
          <t>1408/03/02</t>
        </is>
      </c>
    </row>
    <row r="5" ht="22" customHeight="1">
      <c r="A5" s="7" t="n">
        <v>2</v>
      </c>
      <c r="B5" s="7" t="inlineStr">
        <is>
          <t>حسن انجام تعهدات پیمان</t>
        </is>
      </c>
      <c r="C5" s="8" t="inlineStr">
        <is>
          <t>بانک ملی ایران — شعبه مرکزی تهران</t>
        </is>
      </c>
      <c r="D5" s="7" t="inlineStr">
        <is>
          <t>۱۴۰۲/م/۴۴۱۰۱</t>
        </is>
      </c>
      <c r="E5" s="9" t="n">
        <v>19853537500000</v>
      </c>
      <c r="F5" s="7" t="inlineStr">
        <is>
          <t>1402/03/01</t>
        </is>
      </c>
      <c r="G5" s="7" t="inlineStr">
        <is>
          <t>1408/03/02</t>
        </is>
      </c>
    </row>
    <row r="6" ht="22" customHeight="1">
      <c r="A6" s="7" t="n">
        <v>3</v>
      </c>
      <c r="B6" s="7" t="inlineStr">
        <is>
          <t>استرداد کسور وجه‌الضمان حسن انجام کار</t>
        </is>
      </c>
      <c r="C6" s="8" t="inlineStr">
        <is>
          <t>بانک تجارت — شعبه تخصصی خطوط ریلی</t>
        </is>
      </c>
      <c r="D6" s="7" t="inlineStr">
        <is>
          <t>۱۴۰۳/ت/۵۵۹۸۰</t>
        </is>
      </c>
      <c r="E6" s="9" t="n">
        <v>12000000000000</v>
      </c>
      <c r="F6" s="7" t="inlineStr">
        <is>
          <t>1403/06/10</t>
        </is>
      </c>
      <c r="G6" s="7" t="inlineStr">
        <is>
          <t>1405/06/10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2026-09-06T04:51:52Z</dcterms:created>
  <dcterms:modified xmlns:dcterms="http://purl.org/dc/terms/" xmlns:xsi="http://www.w3.org/2001/XMLSchema-instance" xsi:type="dcterms:W3CDTF">2026-09-06T04:51:52Z</dcterms:modified>
</cp:coreProperties>
</file>